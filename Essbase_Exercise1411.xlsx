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mmanik\Downloads\"/>
    </mc:Choice>
  </mc:AlternateContent>
  <xr:revisionPtr revIDLastSave="0" documentId="13_ncr:1_{9BFDF62D-1668-41E2-8185-B3ECFA514D94}" xr6:coauthVersionLast="47" xr6:coauthVersionMax="47" xr10:uidLastSave="{00000000-0000-0000-0000-000000000000}"/>
  <bookViews>
    <workbookView xWindow="-110" yWindow="-110" windowWidth="19420" windowHeight="11500" xr2:uid="{9619E9D0-9358-4B38-B01D-4F0BDE40532D}"/>
  </bookViews>
  <sheets>
    <sheet name="Product Master" sheetId="2" r:id="rId1"/>
    <sheet name="Location Master" sheetId="3" r:id="rId2"/>
    <sheet name="Additional Data" sheetId="5" state="hidden" r:id="rId3"/>
    <sheet name="PNL Report" sheetId="4" state="hidden" r:id="rId4"/>
    <sheet name="PNL Report - A" sheetId="6" r:id="rId5"/>
    <sheet name="Data" sheetId="1" r:id="rId6"/>
  </sheets>
  <definedNames>
    <definedName name="_xlnm._FilterDatabase" localSheetId="0" hidden="1">'Product Master'!$A$1:$E$110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5" l="1"/>
  <c r="K6" i="5"/>
  <c r="K5" i="5"/>
  <c r="L5" i="5"/>
  <c r="F53" i="1"/>
  <c r="G53" i="1"/>
  <c r="H53" i="1"/>
  <c r="I53" i="1"/>
  <c r="J53" i="1"/>
  <c r="K53" i="1"/>
  <c r="L53" i="1"/>
  <c r="M53" i="1"/>
  <c r="N53" i="1"/>
  <c r="O53" i="1"/>
  <c r="P53" i="1"/>
  <c r="Q53" i="1"/>
  <c r="F54" i="1"/>
  <c r="G54" i="1"/>
  <c r="H54" i="1"/>
  <c r="I54" i="1"/>
  <c r="J54" i="1"/>
  <c r="K54" i="1"/>
  <c r="L54" i="1"/>
  <c r="M54" i="1"/>
  <c r="N54" i="1"/>
  <c r="O54" i="1"/>
  <c r="P54" i="1"/>
  <c r="Q54" i="1"/>
  <c r="F55" i="1"/>
  <c r="G55" i="1"/>
  <c r="H55" i="1"/>
  <c r="I55" i="1"/>
  <c r="J55" i="1"/>
  <c r="K55" i="1"/>
  <c r="L55" i="1"/>
  <c r="M55" i="1"/>
  <c r="N55" i="1"/>
  <c r="O55" i="1"/>
  <c r="P55" i="1"/>
  <c r="Q55" i="1"/>
  <c r="F56" i="1"/>
  <c r="G56" i="1"/>
  <c r="H56" i="1"/>
  <c r="I56" i="1"/>
  <c r="J56" i="1"/>
  <c r="K56" i="1"/>
  <c r="L56" i="1"/>
  <c r="M56" i="1"/>
  <c r="N56" i="1"/>
  <c r="O56" i="1"/>
  <c r="P56" i="1"/>
  <c r="Q56" i="1"/>
  <c r="G52" i="1"/>
  <c r="H52" i="1"/>
  <c r="I52" i="1"/>
  <c r="J52" i="1"/>
  <c r="K52" i="1"/>
  <c r="L52" i="1"/>
  <c r="M52" i="1"/>
  <c r="N52" i="1"/>
  <c r="O52" i="1"/>
  <c r="P52" i="1"/>
  <c r="Q52" i="1"/>
  <c r="F52" i="1"/>
  <c r="L7" i="5"/>
  <c r="M7" i="5" s="1"/>
  <c r="M6" i="5"/>
  <c r="L6" i="5"/>
  <c r="M5" i="5"/>
  <c r="B16" i="4" l="1"/>
  <c r="B6" i="4"/>
  <c r="B9" i="4"/>
  <c r="B5" i="4" l="1"/>
  <c r="B4" i="4"/>
  <c r="B22" i="4"/>
  <c r="B3" i="4" s="1"/>
  <c r="F5" i="4" s="1"/>
  <c r="F10" i="4" l="1"/>
  <c r="F11" i="4"/>
  <c r="F13" i="4" l="1"/>
</calcChain>
</file>

<file path=xl/sharedStrings.xml><?xml version="1.0" encoding="utf-8"?>
<sst xmlns="http://schemas.openxmlformats.org/spreadsheetml/2006/main" count="853" uniqueCount="327">
  <si>
    <t>Product</t>
  </si>
  <si>
    <t>Location</t>
  </si>
  <si>
    <t>Customer</t>
  </si>
  <si>
    <t>Year</t>
  </si>
  <si>
    <t>Product ID</t>
  </si>
  <si>
    <t>Product Name</t>
  </si>
  <si>
    <t>LOC ID</t>
  </si>
  <si>
    <t>Loc Name</t>
  </si>
  <si>
    <t>Items</t>
  </si>
  <si>
    <t>BR_001</t>
  </si>
  <si>
    <t>TM_05</t>
  </si>
  <si>
    <t>BP_0001</t>
  </si>
  <si>
    <t>Coca-Cola</t>
  </si>
  <si>
    <t>BP_0051</t>
  </si>
  <si>
    <t>Coke II</t>
  </si>
  <si>
    <t>BP_0216</t>
  </si>
  <si>
    <t>Coca-Cola Cherry</t>
  </si>
  <si>
    <t>BP_0280</t>
  </si>
  <si>
    <t>caffeine-free Coca-Cola</t>
  </si>
  <si>
    <t>BP_0281</t>
  </si>
  <si>
    <t>caffeine-free Coke I I</t>
  </si>
  <si>
    <t>BP_0505</t>
  </si>
  <si>
    <t>Coca-Cola Kosher</t>
  </si>
  <si>
    <t>BP_6085</t>
  </si>
  <si>
    <t>Coca-Cola Vanilla</t>
  </si>
  <si>
    <t>BP_A06T</t>
  </si>
  <si>
    <t>Coca-Cola C2</t>
  </si>
  <si>
    <t>BP_A073</t>
  </si>
  <si>
    <t>caffeine-free Coca-Cola C2</t>
  </si>
  <si>
    <t>BP_A10M</t>
  </si>
  <si>
    <t>Coca-Cola with Lemon</t>
  </si>
  <si>
    <t>BP_A12F</t>
  </si>
  <si>
    <t>Coca-Cola with Raspberry</t>
  </si>
  <si>
    <t>BP_A1AU</t>
  </si>
  <si>
    <t>Coca-Cola C2 New Product 1</t>
  </si>
  <si>
    <t>BP_A1AV</t>
  </si>
  <si>
    <t>Coca-Cola C2 New Product 2</t>
  </si>
  <si>
    <t>BP_A1ND</t>
  </si>
  <si>
    <t>Coca-Cola New Product 1</t>
  </si>
  <si>
    <t>BP_A1NE</t>
  </si>
  <si>
    <t>Coca-Cola New Product 2</t>
  </si>
  <si>
    <t>BP_A1NF</t>
  </si>
  <si>
    <t>Coca-Cola New Product 3</t>
  </si>
  <si>
    <t>BP_A1V3</t>
  </si>
  <si>
    <t>Coca-Cola with Lime</t>
  </si>
  <si>
    <t>BP_A1ZA</t>
  </si>
  <si>
    <t>Coca-Cola Citra</t>
  </si>
  <si>
    <t>BP_A275</t>
  </si>
  <si>
    <t>Coca-Cola Variety Pack</t>
  </si>
  <si>
    <t>BP_A2B2</t>
  </si>
  <si>
    <t>Coca-Cola Black Cherry Vanilla</t>
  </si>
  <si>
    <t>BP_A3FA</t>
  </si>
  <si>
    <t>Coca-Cola with Orange</t>
  </si>
  <si>
    <t>BP_A42J</t>
  </si>
  <si>
    <t>Coca-Cola New Product 6</t>
  </si>
  <si>
    <t>BP_A42K</t>
  </si>
  <si>
    <t>Coca-Cola New Product 7</t>
  </si>
  <si>
    <t>BP_A48G</t>
  </si>
  <si>
    <t>Coca-Cola MD Beverage Mix</t>
  </si>
  <si>
    <t>BP_A5W7</t>
  </si>
  <si>
    <t>Coca-Cola New Product 10</t>
  </si>
  <si>
    <t>BP_A6ZW</t>
  </si>
  <si>
    <t>Coca-Cola with Peach</t>
  </si>
  <si>
    <t>BP_A9CM</t>
  </si>
  <si>
    <t>Coca-Cola Prototype 2014</t>
  </si>
  <si>
    <t>BP_A9MN</t>
  </si>
  <si>
    <t>Coca-Cola Orange</t>
  </si>
  <si>
    <t>BP_AAD1</t>
  </si>
  <si>
    <t>Coca-Cola Secret Santa</t>
  </si>
  <si>
    <t>BP_ABFX</t>
  </si>
  <si>
    <t>Coca-Cola California Raspberry</t>
  </si>
  <si>
    <t>BP_ABFY</t>
  </si>
  <si>
    <t>Coca-Cola Georgia Peach</t>
  </si>
  <si>
    <t>BP_ABZJ</t>
  </si>
  <si>
    <t>Coca-Cola Frozen Lemon</t>
  </si>
  <si>
    <t>BP_AC2U</t>
  </si>
  <si>
    <t>Coca-Cola Raspberry</t>
  </si>
  <si>
    <t>BP_AC3H</t>
  </si>
  <si>
    <t>Coca-Cola Orange Sorbet</t>
  </si>
  <si>
    <t>BP_AC5O</t>
  </si>
  <si>
    <t>Coca-Cola Clear Lemon</t>
  </si>
  <si>
    <t>BR_002</t>
  </si>
  <si>
    <t>BP_0002</t>
  </si>
  <si>
    <t>diet Coke</t>
  </si>
  <si>
    <t>BP_0265</t>
  </si>
  <si>
    <t>caffeine-free diet Coke</t>
  </si>
  <si>
    <t>BP_0483</t>
  </si>
  <si>
    <t>diet Cherry Coke</t>
  </si>
  <si>
    <t>BP_0503</t>
  </si>
  <si>
    <t>caffeine-free diet Coke Kosher</t>
  </si>
  <si>
    <t>BP_0506</t>
  </si>
  <si>
    <t>diet Coke Kosher</t>
  </si>
  <si>
    <t>BP_1250</t>
  </si>
  <si>
    <t>caffeine-free Coke light</t>
  </si>
  <si>
    <t>BP_1253</t>
  </si>
  <si>
    <t>Coca-Cola light</t>
  </si>
  <si>
    <t>BP_5464</t>
  </si>
  <si>
    <t>diet Coke with Lemon</t>
  </si>
  <si>
    <t>BP_5951</t>
  </si>
  <si>
    <t>Coca-Cola light with Lemon</t>
  </si>
  <si>
    <t>BP_6691</t>
  </si>
  <si>
    <t>diet Vanilla Coke</t>
  </si>
  <si>
    <t>BP_7933</t>
  </si>
  <si>
    <t>diet Coke with Lime</t>
  </si>
  <si>
    <t>BP_A1NG</t>
  </si>
  <si>
    <t>diet Coke New Product 1</t>
  </si>
  <si>
    <t>BP_A1NH</t>
  </si>
  <si>
    <t>diet Coke New Product 2</t>
  </si>
  <si>
    <t>BP_A1XV</t>
  </si>
  <si>
    <t>diet Coke Sweetened with Splenda</t>
  </si>
  <si>
    <t>BP_A1Y2</t>
  </si>
  <si>
    <t>Coca-Cola light with Lime</t>
  </si>
  <si>
    <t>BP_A1YR</t>
  </si>
  <si>
    <t>Coca-Cola light Orange</t>
  </si>
  <si>
    <t>BP_A1ZB</t>
  </si>
  <si>
    <t>Coca-Cola light Citra</t>
  </si>
  <si>
    <t>BP_A26F</t>
  </si>
  <si>
    <t>diet Coke Citrus Zest</t>
  </si>
  <si>
    <t>BP_A2B3</t>
  </si>
  <si>
    <t>diet Coke Black Cherry Vanilla</t>
  </si>
  <si>
    <t>BP_A3E7</t>
  </si>
  <si>
    <t>Coca-Cola No Calorie</t>
  </si>
  <si>
    <t>BP_A48H</t>
  </si>
  <si>
    <t>diet Coke MD Beverage Mix</t>
  </si>
  <si>
    <t>BP_A48I</t>
  </si>
  <si>
    <t>caffeine free diet Coke MD Beverage Mix</t>
  </si>
  <si>
    <t>BP_A8ZG</t>
  </si>
  <si>
    <t>Coca-Cola Light MD Beverage Mix</t>
  </si>
  <si>
    <t>BP_A9BX</t>
  </si>
  <si>
    <t>diet Coke Frost Cherry</t>
  </si>
  <si>
    <t>BP_AADT</t>
  </si>
  <si>
    <t>diet Coke Frost with a Splash of Cherry</t>
  </si>
  <si>
    <t>BP_ABK7</t>
  </si>
  <si>
    <t>Diet Coke Twisted Mango</t>
  </si>
  <si>
    <t>BP_ABKB</t>
  </si>
  <si>
    <t>Diet Coke Zesty Blood Orange</t>
  </si>
  <si>
    <t>BP_ABPT</t>
  </si>
  <si>
    <t>diet Coke Ginger Lime</t>
  </si>
  <si>
    <t>BP_ABPU</t>
  </si>
  <si>
    <t>diet Coke Feisty Cherry</t>
  </si>
  <si>
    <t>BP_ABTK</t>
  </si>
  <si>
    <t>caffeine free diet Coke Ginger with Lime</t>
  </si>
  <si>
    <t>BP_ABU3</t>
  </si>
  <si>
    <t>Caffeine Free Diet Coke Ginger with Lemon</t>
  </si>
  <si>
    <t>BP_ABU4</t>
  </si>
  <si>
    <t>Diet Coke Ginger with Lemon</t>
  </si>
  <si>
    <t>BP_ABUE</t>
  </si>
  <si>
    <t>diet Coke Exotic Mango</t>
  </si>
  <si>
    <t>BP_AC78</t>
  </si>
  <si>
    <t>Coca-Cola Light Ginger Lime</t>
  </si>
  <si>
    <t>BP_AC79</t>
  </si>
  <si>
    <t>Coca-Cola Light Exotic Mango</t>
  </si>
  <si>
    <t>BR_B05</t>
  </si>
  <si>
    <t>BP_A28M</t>
  </si>
  <si>
    <t>Coca-Cola BUD New Product 2</t>
  </si>
  <si>
    <t>BP_A28N</t>
  </si>
  <si>
    <t>Coca-Cola BUD New Product 3</t>
  </si>
  <si>
    <t>BP_A7TY</t>
  </si>
  <si>
    <t>Coca-Cola BUD II New Product 4</t>
  </si>
  <si>
    <t>BP_A7TZ</t>
  </si>
  <si>
    <t>Coca-Cola BUD II New Product 5</t>
  </si>
  <si>
    <t>BR_B06</t>
  </si>
  <si>
    <t>BP_A28O</t>
  </si>
  <si>
    <t>Coca-Cola BUD New Product 4</t>
  </si>
  <si>
    <t>BP_A28P</t>
  </si>
  <si>
    <t>Coca-Cola BUD New Product 5</t>
  </si>
  <si>
    <t>BP_A7T6</t>
  </si>
  <si>
    <t>Coca-Cola BUD III New Product 6</t>
  </si>
  <si>
    <t>BP_A7T7</t>
  </si>
  <si>
    <t>Coca-Cola BUD III New Product 7</t>
  </si>
  <si>
    <t>BR_BOD</t>
  </si>
  <si>
    <t>BP_A1VS</t>
  </si>
  <si>
    <t>Coca-Cola Zero</t>
  </si>
  <si>
    <t>BP_A22B</t>
  </si>
  <si>
    <t>Coca-Cola Cherry Zero</t>
  </si>
  <si>
    <t>BP_A3A5</t>
  </si>
  <si>
    <t>Coca-Cola Vanilla Zero</t>
  </si>
  <si>
    <t>BP_A44M</t>
  </si>
  <si>
    <t>Coca-Cola Zero New Product 1</t>
  </si>
  <si>
    <t>BP_A44N</t>
  </si>
  <si>
    <t>Coca-Cola Zero New Product 2</t>
  </si>
  <si>
    <t>BP_A48J</t>
  </si>
  <si>
    <t>Coke ZeroFlavors MD Beverage Mix</t>
  </si>
  <si>
    <t>BP_A56E</t>
  </si>
  <si>
    <t>Coca-Cola Zero Caffeine-Free</t>
  </si>
  <si>
    <t>BP_A6QB</t>
  </si>
  <si>
    <t>Coca-Cola Zero Raspberry</t>
  </si>
  <si>
    <t>BP_A6QC</t>
  </si>
  <si>
    <t>Coca-Cola Zero Lemon</t>
  </si>
  <si>
    <t>BP_A6QD</t>
  </si>
  <si>
    <t>Coca-Cola Zero Lime</t>
  </si>
  <si>
    <t>BP_A6Z1</t>
  </si>
  <si>
    <t>Coca-Cola Zero Peach</t>
  </si>
  <si>
    <t>BP_A8WF</t>
  </si>
  <si>
    <t>Coke ZeroFlavors Caffeine-Free MD Beverage Mix</t>
  </si>
  <si>
    <t>BP_AAHZ</t>
  </si>
  <si>
    <t>Coca-Cola Zero Variety Pack</t>
  </si>
  <si>
    <t>BP_AB6G</t>
  </si>
  <si>
    <t>Coca-Cola Zero Sugar</t>
  </si>
  <si>
    <t>BP_ABBA</t>
  </si>
  <si>
    <t>Coca-Cola No Sugar</t>
  </si>
  <si>
    <t>BP_ABCW</t>
  </si>
  <si>
    <t>Coca-Cola Stevia</t>
  </si>
  <si>
    <t>BP_ABQL</t>
  </si>
  <si>
    <t>Coca-Cola Zero Sugar MD Beverage Mix</t>
  </si>
  <si>
    <t>BP_ABXT</t>
  </si>
  <si>
    <t>Coca-Cola Without Sugar</t>
  </si>
  <si>
    <t>BP_AC2T</t>
  </si>
  <si>
    <t>Coca-Cola Orange No Sugar</t>
  </si>
  <si>
    <t>BP_AC37</t>
  </si>
  <si>
    <t>Coca-Cola Zero Ginger</t>
  </si>
  <si>
    <t>BP_AC7Z</t>
  </si>
  <si>
    <t>Coca-Cola Vanilla No Sugar</t>
  </si>
  <si>
    <t>BP_AC8Y</t>
  </si>
  <si>
    <t>Coca-Cola Peach No Sugar</t>
  </si>
  <si>
    <t>BP_AC9E</t>
  </si>
  <si>
    <t>Coca-Cola Zero Cinnamon</t>
  </si>
  <si>
    <t>BR_BOI</t>
  </si>
  <si>
    <t>BP_A1XP</t>
  </si>
  <si>
    <t>Coca-Cola BUD New Product 1</t>
  </si>
  <si>
    <t>BP_A7S1</t>
  </si>
  <si>
    <t>Coca-Cola BUD I New Product 2</t>
  </si>
  <si>
    <t>BP_A7S2</t>
  </si>
  <si>
    <t>Coca-Cola BUD I New Product 3</t>
  </si>
  <si>
    <t>BR_CIR</t>
  </si>
  <si>
    <t>BP_A8S1</t>
  </si>
  <si>
    <t>Coca-Cola Life</t>
  </si>
  <si>
    <t>BP_A9HX</t>
  </si>
  <si>
    <t>Coca-Cola Life (Reg Cal)</t>
  </si>
  <si>
    <t>BP_AAQI</t>
  </si>
  <si>
    <t>Coca-Cola with Stevia  50 Less Sugar</t>
  </si>
  <si>
    <t>BP_AAYK</t>
  </si>
  <si>
    <t>Coca-Cola with Stevia</t>
  </si>
  <si>
    <t>BP_ABT5</t>
  </si>
  <si>
    <t>Coca-Cola with less Sugar</t>
  </si>
  <si>
    <t>Brand Name</t>
  </si>
  <si>
    <t>Trade Mark</t>
  </si>
  <si>
    <t>Product Description</t>
  </si>
  <si>
    <t>TM_09</t>
  </si>
  <si>
    <t>TM_11</t>
  </si>
  <si>
    <t>USA</t>
  </si>
  <si>
    <t>India</t>
  </si>
  <si>
    <t>Japan</t>
  </si>
  <si>
    <t>China</t>
  </si>
  <si>
    <t>Australia</t>
  </si>
  <si>
    <t>New Zeland</t>
  </si>
  <si>
    <t>FY18</t>
  </si>
  <si>
    <t>C_10001</t>
  </si>
  <si>
    <t>Product Sales</t>
  </si>
  <si>
    <t>Cost of goods</t>
  </si>
  <si>
    <t>Depreciation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</si>
  <si>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</si>
  <si>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</si>
  <si>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</si>
  <si>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</si>
  <si>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</si>
  <si>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</si>
  <si>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</si>
  <si>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</si>
  <si>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</si>
  <si>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</si>
  <si>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</si>
  <si>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</si>
  <si>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C_10002</t>
  </si>
  <si>
    <t>Revenue</t>
  </si>
  <si>
    <t>Volume</t>
  </si>
  <si>
    <t>Raw material</t>
  </si>
  <si>
    <t>package material</t>
  </si>
  <si>
    <t>direct cost</t>
  </si>
  <si>
    <t>indirect cost</t>
  </si>
  <si>
    <t>Gross Profit</t>
  </si>
  <si>
    <t>Total Expense</t>
  </si>
  <si>
    <t>Admin cost</t>
  </si>
  <si>
    <t>PBT</t>
  </si>
  <si>
    <t>PAT</t>
  </si>
  <si>
    <t>Tax</t>
  </si>
  <si>
    <t>Tax (PBT * Tax%)</t>
  </si>
  <si>
    <t>Yeartotal</t>
  </si>
  <si>
    <t>Price</t>
  </si>
  <si>
    <t>Profit / Loss</t>
  </si>
  <si>
    <t>Total Asset</t>
  </si>
  <si>
    <t>Total Liability</t>
  </si>
  <si>
    <t>Equity</t>
  </si>
  <si>
    <t>Retain Earning</t>
  </si>
  <si>
    <t>Balance Check</t>
  </si>
  <si>
    <t>Indirect Cost</t>
  </si>
  <si>
    <t>Admin Cost</t>
  </si>
  <si>
    <t>C_10003</t>
  </si>
  <si>
    <t>C_10004</t>
  </si>
  <si>
    <t>C_10005</t>
  </si>
  <si>
    <t>C_10007</t>
  </si>
  <si>
    <t>C_10008</t>
  </si>
  <si>
    <t>Region</t>
  </si>
  <si>
    <t>USA &amp; Canada</t>
  </si>
  <si>
    <t>Canada</t>
  </si>
  <si>
    <t>APAC</t>
  </si>
  <si>
    <t>Austraila &amp; New Zealand</t>
  </si>
  <si>
    <t>Allocation Logic</t>
  </si>
  <si>
    <t>C_10011</t>
  </si>
  <si>
    <t>C_10015</t>
  </si>
  <si>
    <t>Sparkling</t>
  </si>
  <si>
    <t>Water</t>
  </si>
  <si>
    <t>Tea</t>
  </si>
  <si>
    <t>C_10115</t>
  </si>
  <si>
    <t>C_10117</t>
  </si>
  <si>
    <t>Jul</t>
  </si>
  <si>
    <t xml:space="preserve"> Forecast Period</t>
  </si>
  <si>
    <t>Assumptions</t>
  </si>
  <si>
    <t>Volumes</t>
  </si>
  <si>
    <t>Profit n Loss Statement</t>
  </si>
  <si>
    <t xml:space="preserve">Admin cost </t>
  </si>
  <si>
    <t xml:space="preserve">Depreciation </t>
  </si>
  <si>
    <t xml:space="preserve">Total Expense </t>
  </si>
  <si>
    <t xml:space="preserve">direct cost </t>
  </si>
  <si>
    <t xml:space="preserve">indirect cost </t>
  </si>
  <si>
    <t xml:space="preserve">package material </t>
  </si>
  <si>
    <t>Tax %</t>
  </si>
  <si>
    <t>Product Type</t>
  </si>
  <si>
    <t>Current liabilities</t>
  </si>
  <si>
    <t>FINANCIAL STATEMENTS (values in INR)</t>
  </si>
  <si>
    <t>YTD , QTD functionality is needed</t>
  </si>
  <si>
    <t>=Gross Profit - Cost of Goods - Total Expense</t>
  </si>
  <si>
    <t>Total Tax</t>
  </si>
  <si>
    <t>Tax%</t>
  </si>
  <si>
    <t xml:space="preserve">Tax </t>
  </si>
  <si>
    <t>= PBT * Tax%</t>
  </si>
  <si>
    <t>= PBT- Total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</si>
</sst>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(#,##0\)_-;_-* &quot;-&quot;_-;_-@_-"/>
    <numFmt numFmtId="166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6"/>
      <color theme="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i/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rgb="FF0000FF"/>
      <name val="Calibri Light"/>
      <family val="2"/>
      <scheme val="major"/>
    </font>
    <font>
      <b/>
      <sz val="12"/>
      <color rgb="FF0000FF"/>
      <name val="Calibri Light"/>
      <family val="2"/>
      <scheme val="major"/>
    </font>
    <font>
      <b/>
      <sz val="12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165" fontId="2" fillId="3" borderId="0" xfId="1" applyNumberFormat="1" applyFont="1" applyFill="1"/>
    <xf numFmtId="165" fontId="3" fillId="3" borderId="0" xfId="1" applyNumberFormat="1" applyFont="1" applyFill="1"/>
    <xf numFmtId="165" fontId="2" fillId="3" borderId="0" xfId="1" applyNumberFormat="1" applyFont="1" applyFill="1" applyAlignment="1">
      <alignment horizontal="center"/>
    </xf>
    <xf numFmtId="165" fontId="2" fillId="0" borderId="0" xfId="1" applyNumberFormat="1" applyFont="1"/>
    <xf numFmtId="165" fontId="5" fillId="3" borderId="0" xfId="1" applyNumberFormat="1" applyFont="1" applyFill="1" applyAlignment="1"/>
    <xf numFmtId="165" fontId="6" fillId="3" borderId="0" xfId="1" applyNumberFormat="1" applyFont="1" applyFill="1" applyAlignment="1"/>
    <xf numFmtId="165" fontId="6" fillId="3" borderId="0" xfId="1" applyNumberFormat="1" applyFont="1" applyFill="1" applyAlignment="1">
      <alignment horizontal="center"/>
    </xf>
    <xf numFmtId="0" fontId="5" fillId="3" borderId="0" xfId="0" applyFont="1" applyFill="1"/>
    <xf numFmtId="165" fontId="2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right"/>
    </xf>
    <xf numFmtId="0" fontId="8" fillId="0" borderId="0" xfId="0" applyFont="1"/>
    <xf numFmtId="37" fontId="6" fillId="4" borderId="0" xfId="0" applyNumberFormat="1" applyFont="1" applyFill="1" applyAlignment="1">
      <alignment vertical="center"/>
    </xf>
    <xf numFmtId="165" fontId="2" fillId="0" borderId="0" xfId="1" applyNumberFormat="1" applyFont="1" applyFill="1" applyBorder="1"/>
    <xf numFmtId="165" fontId="9" fillId="0" borderId="0" xfId="1" applyNumberFormat="1" applyFont="1"/>
    <xf numFmtId="165" fontId="2" fillId="0" borderId="0" xfId="1" applyNumberFormat="1" applyFont="1" applyFill="1" applyBorder="1" applyAlignment="1">
      <alignment horizontal="center"/>
    </xf>
    <xf numFmtId="165" fontId="8" fillId="0" borderId="0" xfId="0" applyNumberFormat="1" applyFont="1"/>
    <xf numFmtId="165" fontId="10" fillId="0" borderId="0" xfId="1" applyNumberFormat="1" applyFont="1" applyFill="1"/>
    <xf numFmtId="165" fontId="6" fillId="4" borderId="0" xfId="0" applyNumberFormat="1" applyFont="1" applyFill="1" applyAlignment="1">
      <alignment vertical="center"/>
    </xf>
    <xf numFmtId="165" fontId="9" fillId="0" borderId="1" xfId="1" applyNumberFormat="1" applyFont="1" applyBorder="1"/>
    <xf numFmtId="165" fontId="9" fillId="0" borderId="1" xfId="1" applyNumberFormat="1" applyFont="1" applyBorder="1" applyAlignment="1">
      <alignment horizontal="center"/>
    </xf>
    <xf numFmtId="165" fontId="12" fillId="0" borderId="1" xfId="1" applyNumberFormat="1" applyFont="1" applyBorder="1"/>
    <xf numFmtId="165" fontId="9" fillId="0" borderId="0" xfId="1" applyNumberFormat="1" applyFont="1" applyBorder="1"/>
    <xf numFmtId="165" fontId="9" fillId="0" borderId="0" xfId="1" applyNumberFormat="1" applyFont="1" applyBorder="1" applyAlignment="1">
      <alignment horizontal="center"/>
    </xf>
    <xf numFmtId="165" fontId="11" fillId="0" borderId="0" xfId="1" applyNumberFormat="1" applyFont="1" applyBorder="1"/>
    <xf numFmtId="165" fontId="2" fillId="0" borderId="0" xfId="1" applyNumberFormat="1" applyFont="1" applyFill="1"/>
    <xf numFmtId="166" fontId="2" fillId="0" borderId="0" xfId="1" applyNumberFormat="1" applyFont="1" applyFill="1"/>
    <xf numFmtId="165" fontId="9" fillId="0" borderId="2" xfId="1" applyNumberFormat="1" applyFont="1" applyBorder="1"/>
    <xf numFmtId="165" fontId="2" fillId="0" borderId="0" xfId="1" applyNumberFormat="1" applyFont="1" applyAlignment="1">
      <alignment horizontal="left" indent="1"/>
    </xf>
    <xf numFmtId="165" fontId="9" fillId="0" borderId="2" xfId="1" applyNumberFormat="1" applyFont="1" applyBorder="1" applyAlignment="1">
      <alignment horizontal="left" indent="2"/>
    </xf>
    <xf numFmtId="165" fontId="9" fillId="0" borderId="1" xfId="1" applyNumberFormat="1" applyFont="1" applyBorder="1" applyAlignment="1">
      <alignment horizontal="left" indent="3"/>
    </xf>
    <xf numFmtId="165" fontId="2" fillId="0" borderId="0" xfId="1" applyNumberFormat="1" applyFont="1" applyAlignment="1">
      <alignment horizontal="left" indent="3"/>
    </xf>
    <xf numFmtId="165" fontId="2" fillId="0" borderId="0" xfId="1" applyNumberFormat="1" applyFont="1" applyAlignment="1">
      <alignment horizontal="left" indent="5"/>
    </xf>
    <xf numFmtId="165" fontId="9" fillId="0" borderId="0" xfId="1" applyNumberFormat="1" applyFont="1" applyAlignment="1">
      <alignment horizontal="left" indent="3"/>
    </xf>
    <xf numFmtId="165" fontId="9" fillId="0" borderId="0" xfId="1" applyNumberFormat="1" applyFont="1" applyBorder="1" applyAlignment="1">
      <alignment horizontal="left" indent="5"/>
    </xf>
    <xf numFmtId="165" fontId="2" fillId="0" borderId="0" xfId="1" applyNumberFormat="1" applyFont="1" applyAlignment="1">
      <alignment horizontal="left" indent="7"/>
    </xf>
    <xf numFmtId="9" fontId="0" fillId="0" borderId="0" xfId="0" applyNumberFormat="1"/>
    <xf numFmtId="165" fontId="9" fillId="0" borderId="2" xfId="1" quotePrefix="1" applyNumberFormat="1" applyFont="1" applyBorder="1" applyAlignment="1">
      <alignment horizontal="left" indent="2"/>
    </xf>
    <xf numFmtId="165" fontId="9" fillId="0" borderId="2" xfId="1" quotePrefix="1" applyNumberFormat="1" applyFont="1" applyBorder="1"/>
    <xf numFmtId="165" fontId="2" fillId="0" borderId="0" xfId="1" quotePrefix="1" applyNumberFormat="1" applyFont="1"/>
    <xf numFmtId="165" fontId="4" fillId="3" borderId="0" xfId="1" applyNumberFormat="1" applyFont="1" applyFill="1" applyAlignment="1">
      <alignment horizontal="center"/>
    </xf>
  </cellXfs>
  <cellStyles count="3">
    <cellStyle name="Comma" xfId="1" builtinId="3"/>
    <cellStyle name="Hyperlink 3" xfId="2" xr:uid="{1F8C911F-3F77-4CB2-9C7E-44BE82F75250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9078-9907-4971-BFC8-8CC3B8C45F0C}">
  <dimension ref="A1:F110"/>
  <sheetViews>
    <sheetView tabSelected="1" topLeftCell="A37" workbookViewId="0">
      <selection activeCell="A97" sqref="A97"/>
    </sheetView>
  </sheetViews>
  <sheetFormatPr defaultRowHeight="14.5" x14ac:dyDescent="0.35"/>
  <cols>
    <col min="1" max="1" width="9.54296875" bestFit="1" customWidth="1"/>
    <col min="2" max="2" width="12.6328125" bestFit="1" customWidth="1"/>
    <col min="3" max="3" width="42.453125" bestFit="1" customWidth="1"/>
    <col min="4" max="4" width="11.1796875" bestFit="1" customWidth="1"/>
    <col min="5" max="5" width="10.453125" bestFit="1" customWidth="1"/>
    <col min="6" max="6" width="11.7265625" bestFit="1" customWidth="1"/>
    <col min="9" max="9" width="67.26953125" bestFit="1" customWidth="1"/>
    <col min="10" max="10" width="57.36328125" bestFit="1" customWidth="1"/>
  </cols>
  <sheetData>
    <row r="1" spans="1:6" x14ac:dyDescent="0.35">
      <c r="A1" t="s">
        <v>4</v>
      </c>
      <c r="B1" t="s">
        <v>5</v>
      </c>
      <c r="C1" t="s">
        <v>237</v>
      </c>
      <c r="D1" t="s">
        <v>235</v>
      </c>
      <c r="E1" t="s">
        <v>236</v>
      </c>
      <c r="F1" t="s">
        <v>317</v>
      </c>
    </row>
    <row r="2" spans="1:6" x14ac:dyDescent="0.35">
      <c r="A2">
        <v>1</v>
      </c>
      <c r="B2" t="s">
        <v>11</v>
      </c>
      <c r="C2" t="s">
        <v>12</v>
      </c>
      <c r="D2" t="s">
        <v>9</v>
      </c>
      <c r="E2" t="s">
        <v>10</v>
      </c>
      <c r="F2" t="s">
        <v>300</v>
      </c>
    </row>
    <row r="3" spans="1:6" x14ac:dyDescent="0.35">
      <c r="A3">
        <v>2</v>
      </c>
      <c r="B3" t="s">
        <v>13</v>
      </c>
      <c r="C3" t="s">
        <v>14</v>
      </c>
      <c r="D3" t="s">
        <v>9</v>
      </c>
      <c r="E3" t="s">
        <v>10</v>
      </c>
      <c r="F3" t="s">
        <v>300</v>
      </c>
    </row>
    <row r="4" spans="1:6" x14ac:dyDescent="0.35">
      <c r="A4">
        <v>3</v>
      </c>
      <c r="B4" t="s">
        <v>15</v>
      </c>
      <c r="C4" t="s">
        <v>16</v>
      </c>
      <c r="D4" t="s">
        <v>9</v>
      </c>
      <c r="E4" t="s">
        <v>10</v>
      </c>
      <c r="F4" t="s">
        <v>300</v>
      </c>
    </row>
    <row r="5" spans="1:6" x14ac:dyDescent="0.35">
      <c r="A5">
        <v>4</v>
      </c>
      <c r="B5" t="s">
        <v>17</v>
      </c>
      <c r="C5" t="s">
        <v>18</v>
      </c>
      <c r="D5" t="s">
        <v>9</v>
      </c>
      <c r="E5" t="s">
        <v>10</v>
      </c>
      <c r="F5" t="s">
        <v>300</v>
      </c>
    </row>
    <row r="6" spans="1:6" x14ac:dyDescent="0.35">
      <c r="A6">
        <v>5</v>
      </c>
      <c r="B6" t="s">
        <v>19</v>
      </c>
      <c r="C6" t="s">
        <v>20</v>
      </c>
      <c r="D6" t="s">
        <v>9</v>
      </c>
      <c r="E6" t="s">
        <v>10</v>
      </c>
      <c r="F6" t="s">
        <v>300</v>
      </c>
    </row>
    <row r="7" spans="1:6" x14ac:dyDescent="0.35">
      <c r="A7">
        <v>6</v>
      </c>
      <c r="B7" t="s">
        <v>21</v>
      </c>
      <c r="C7" t="s">
        <v>22</v>
      </c>
      <c r="D7" t="s">
        <v>9</v>
      </c>
      <c r="E7" t="s">
        <v>10</v>
      </c>
      <c r="F7" t="s">
        <v>300</v>
      </c>
    </row>
    <row r="8" spans="1:6" x14ac:dyDescent="0.35">
      <c r="A8">
        <v>7</v>
      </c>
      <c r="B8" t="s">
        <v>23</v>
      </c>
      <c r="C8" t="s">
        <v>24</v>
      </c>
      <c r="D8" t="s">
        <v>9</v>
      </c>
      <c r="E8" t="s">
        <v>10</v>
      </c>
      <c r="F8" t="s">
        <v>300</v>
      </c>
    </row>
    <row r="9" spans="1:6" x14ac:dyDescent="0.35">
      <c r="A9">
        <v>8</v>
      </c>
      <c r="B9" t="s">
        <v>25</v>
      </c>
      <c r="C9" t="s">
        <v>26</v>
      </c>
      <c r="D9" t="s">
        <v>9</v>
      </c>
      <c r="E9" t="s">
        <v>10</v>
      </c>
      <c r="F9" t="s">
        <v>300</v>
      </c>
    </row>
    <row r="10" spans="1:6" x14ac:dyDescent="0.35">
      <c r="A10">
        <v>9</v>
      </c>
      <c r="B10" t="s">
        <v>27</v>
      </c>
      <c r="C10" t="s">
        <v>28</v>
      </c>
      <c r="D10" t="s">
        <v>9</v>
      </c>
      <c r="E10" t="s">
        <v>10</v>
      </c>
      <c r="F10" t="s">
        <v>300</v>
      </c>
    </row>
    <row r="11" spans="1:6" x14ac:dyDescent="0.35">
      <c r="A11">
        <v>10</v>
      </c>
      <c r="B11" t="s">
        <v>29</v>
      </c>
      <c r="C11" t="s">
        <v>30</v>
      </c>
      <c r="D11" t="s">
        <v>9</v>
      </c>
      <c r="E11" t="s">
        <v>10</v>
      </c>
      <c r="F11" t="s">
        <v>301</v>
      </c>
    </row>
    <row r="12" spans="1:6" x14ac:dyDescent="0.35">
      <c r="A12">
        <v>11</v>
      </c>
      <c r="B12" t="s">
        <v>31</v>
      </c>
      <c r="C12" t="s">
        <v>32</v>
      </c>
      <c r="D12" t="s">
        <v>9</v>
      </c>
      <c r="E12" t="s">
        <v>10</v>
      </c>
      <c r="F12" t="s">
        <v>301</v>
      </c>
    </row>
    <row r="13" spans="1:6" x14ac:dyDescent="0.35">
      <c r="A13">
        <v>12</v>
      </c>
      <c r="B13" t="s">
        <v>33</v>
      </c>
      <c r="C13" t="s">
        <v>34</v>
      </c>
      <c r="D13" t="s">
        <v>9</v>
      </c>
      <c r="E13" t="s">
        <v>10</v>
      </c>
      <c r="F13" t="s">
        <v>301</v>
      </c>
    </row>
    <row r="14" spans="1:6" x14ac:dyDescent="0.35">
      <c r="A14">
        <v>13</v>
      </c>
      <c r="B14" t="s">
        <v>35</v>
      </c>
      <c r="C14" t="s">
        <v>36</v>
      </c>
      <c r="D14" t="s">
        <v>9</v>
      </c>
      <c r="E14" t="s">
        <v>10</v>
      </c>
      <c r="F14" t="s">
        <v>301</v>
      </c>
    </row>
    <row r="15" spans="1:6" x14ac:dyDescent="0.35">
      <c r="A15">
        <v>14</v>
      </c>
      <c r="B15" t="s">
        <v>37</v>
      </c>
      <c r="C15" t="s">
        <v>38</v>
      </c>
      <c r="D15" t="s">
        <v>9</v>
      </c>
      <c r="E15" t="s">
        <v>10</v>
      </c>
      <c r="F15" t="s">
        <v>301</v>
      </c>
    </row>
    <row r="16" spans="1:6" x14ac:dyDescent="0.35">
      <c r="A16">
        <v>15</v>
      </c>
      <c r="B16" t="s">
        <v>39</v>
      </c>
      <c r="C16" t="s">
        <v>40</v>
      </c>
      <c r="D16" t="s">
        <v>9</v>
      </c>
      <c r="E16" t="s">
        <v>10</v>
      </c>
      <c r="F16" t="s">
        <v>301</v>
      </c>
    </row>
    <row r="17" spans="1:6" x14ac:dyDescent="0.35">
      <c r="A17">
        <v>16</v>
      </c>
      <c r="B17" t="s">
        <v>41</v>
      </c>
      <c r="C17" t="s">
        <v>42</v>
      </c>
      <c r="D17" t="s">
        <v>9</v>
      </c>
      <c r="E17" t="s">
        <v>10</v>
      </c>
      <c r="F17" t="s">
        <v>301</v>
      </c>
    </row>
    <row r="18" spans="1:6" x14ac:dyDescent="0.35">
      <c r="A18">
        <v>17</v>
      </c>
      <c r="B18" t="s">
        <v>43</v>
      </c>
      <c r="C18" t="s">
        <v>44</v>
      </c>
      <c r="D18" t="s">
        <v>9</v>
      </c>
      <c r="E18" t="s">
        <v>10</v>
      </c>
      <c r="F18" t="s">
        <v>301</v>
      </c>
    </row>
    <row r="19" spans="1:6" x14ac:dyDescent="0.35">
      <c r="A19">
        <v>18</v>
      </c>
      <c r="B19" t="s">
        <v>45</v>
      </c>
      <c r="C19" t="s">
        <v>46</v>
      </c>
      <c r="D19" t="s">
        <v>9</v>
      </c>
      <c r="E19" t="s">
        <v>10</v>
      </c>
      <c r="F19" t="s">
        <v>301</v>
      </c>
    </row>
    <row r="20" spans="1:6" x14ac:dyDescent="0.35">
      <c r="A20">
        <v>19</v>
      </c>
      <c r="B20" t="s">
        <v>47</v>
      </c>
      <c r="C20" t="s">
        <v>48</v>
      </c>
      <c r="D20" t="s">
        <v>9</v>
      </c>
      <c r="E20" t="s">
        <v>10</v>
      </c>
      <c r="F20" t="s">
        <v>301</v>
      </c>
    </row>
    <row r="21" spans="1:6" x14ac:dyDescent="0.35">
      <c r="A21">
        <v>20</v>
      </c>
      <c r="B21" t="s">
        <v>49</v>
      </c>
      <c r="C21" t="s">
        <v>50</v>
      </c>
      <c r="D21" t="s">
        <v>9</v>
      </c>
      <c r="E21" t="s">
        <v>10</v>
      </c>
      <c r="F21" t="s">
        <v>301</v>
      </c>
    </row>
    <row r="22" spans="1:6" x14ac:dyDescent="0.35">
      <c r="A22">
        <v>21</v>
      </c>
      <c r="B22" t="s">
        <v>51</v>
      </c>
      <c r="C22" t="s">
        <v>52</v>
      </c>
      <c r="D22" t="s">
        <v>9</v>
      </c>
      <c r="E22" t="s">
        <v>10</v>
      </c>
      <c r="F22" t="s">
        <v>300</v>
      </c>
    </row>
    <row r="23" spans="1:6" x14ac:dyDescent="0.35">
      <c r="A23">
        <v>22</v>
      </c>
      <c r="B23" t="s">
        <v>53</v>
      </c>
      <c r="C23" t="s">
        <v>54</v>
      </c>
      <c r="D23" t="s">
        <v>9</v>
      </c>
      <c r="E23" t="s">
        <v>10</v>
      </c>
      <c r="F23" t="s">
        <v>300</v>
      </c>
    </row>
    <row r="24" spans="1:6" x14ac:dyDescent="0.35">
      <c r="A24">
        <v>23</v>
      </c>
      <c r="B24" t="s">
        <v>55</v>
      </c>
      <c r="C24" t="s">
        <v>56</v>
      </c>
      <c r="D24" t="s">
        <v>9</v>
      </c>
      <c r="E24" t="s">
        <v>10</v>
      </c>
      <c r="F24" t="s">
        <v>300</v>
      </c>
    </row>
    <row r="25" spans="1:6" x14ac:dyDescent="0.35">
      <c r="A25">
        <v>24</v>
      </c>
      <c r="B25" t="s">
        <v>57</v>
      </c>
      <c r="C25" t="s">
        <v>58</v>
      </c>
      <c r="D25" t="s">
        <v>9</v>
      </c>
      <c r="E25" t="s">
        <v>10</v>
      </c>
      <c r="F25" t="s">
        <v>300</v>
      </c>
    </row>
    <row r="26" spans="1:6" x14ac:dyDescent="0.35">
      <c r="A26">
        <v>25</v>
      </c>
      <c r="B26" t="s">
        <v>59</v>
      </c>
      <c r="C26" t="s">
        <v>60</v>
      </c>
      <c r="D26" t="s">
        <v>9</v>
      </c>
      <c r="E26" t="s">
        <v>10</v>
      </c>
      <c r="F26" t="s">
        <v>300</v>
      </c>
    </row>
    <row r="27" spans="1:6" x14ac:dyDescent="0.35">
      <c r="A27">
        <v>26</v>
      </c>
      <c r="B27" t="s">
        <v>61</v>
      </c>
      <c r="C27" t="s">
        <v>62</v>
      </c>
      <c r="D27" t="s">
        <v>9</v>
      </c>
      <c r="E27" t="s">
        <v>10</v>
      </c>
      <c r="F27" t="s">
        <v>300</v>
      </c>
    </row>
    <row r="28" spans="1:6" x14ac:dyDescent="0.35">
      <c r="A28">
        <v>27</v>
      </c>
      <c r="B28" t="s">
        <v>63</v>
      </c>
      <c r="C28" t="s">
        <v>64</v>
      </c>
      <c r="D28" t="s">
        <v>9</v>
      </c>
      <c r="E28" t="s">
        <v>10</v>
      </c>
      <c r="F28" t="s">
        <v>300</v>
      </c>
    </row>
    <row r="29" spans="1:6" x14ac:dyDescent="0.35">
      <c r="A29">
        <v>28</v>
      </c>
      <c r="B29" t="s">
        <v>65</v>
      </c>
      <c r="C29" t="s">
        <v>66</v>
      </c>
      <c r="D29" t="s">
        <v>9</v>
      </c>
      <c r="E29" t="s">
        <v>10</v>
      </c>
      <c r="F29" t="s">
        <v>300</v>
      </c>
    </row>
    <row r="30" spans="1:6" x14ac:dyDescent="0.35">
      <c r="A30">
        <v>29</v>
      </c>
      <c r="B30" t="s">
        <v>67</v>
      </c>
      <c r="C30" t="s">
        <v>68</v>
      </c>
      <c r="D30" t="s">
        <v>9</v>
      </c>
      <c r="E30" t="s">
        <v>10</v>
      </c>
      <c r="F30" t="s">
        <v>300</v>
      </c>
    </row>
    <row r="31" spans="1:6" x14ac:dyDescent="0.35">
      <c r="A31">
        <v>30</v>
      </c>
      <c r="B31" t="s">
        <v>69</v>
      </c>
      <c r="C31" t="s">
        <v>70</v>
      </c>
      <c r="D31" t="s">
        <v>9</v>
      </c>
      <c r="E31" t="s">
        <v>10</v>
      </c>
      <c r="F31" t="s">
        <v>300</v>
      </c>
    </row>
    <row r="32" spans="1:6" x14ac:dyDescent="0.35">
      <c r="A32">
        <v>31</v>
      </c>
      <c r="B32" t="s">
        <v>71</v>
      </c>
      <c r="C32" t="s">
        <v>72</v>
      </c>
      <c r="D32" t="s">
        <v>9</v>
      </c>
      <c r="E32" t="s">
        <v>10</v>
      </c>
      <c r="F32" t="s">
        <v>300</v>
      </c>
    </row>
    <row r="33" spans="1:6" x14ac:dyDescent="0.35">
      <c r="A33">
        <v>32</v>
      </c>
      <c r="B33" t="s">
        <v>73</v>
      </c>
      <c r="C33" t="s">
        <v>74</v>
      </c>
      <c r="D33" t="s">
        <v>9</v>
      </c>
      <c r="E33" t="s">
        <v>10</v>
      </c>
      <c r="F33" t="s">
        <v>301</v>
      </c>
    </row>
    <row r="34" spans="1:6" x14ac:dyDescent="0.35">
      <c r="A34">
        <v>33</v>
      </c>
      <c r="B34" t="s">
        <v>75</v>
      </c>
      <c r="C34" t="s">
        <v>76</v>
      </c>
      <c r="D34" t="s">
        <v>9</v>
      </c>
      <c r="E34" t="s">
        <v>10</v>
      </c>
      <c r="F34" t="s">
        <v>301</v>
      </c>
    </row>
    <row r="35" spans="1:6" x14ac:dyDescent="0.35">
      <c r="A35">
        <v>34</v>
      </c>
      <c r="B35" t="s">
        <v>77</v>
      </c>
      <c r="C35" t="s">
        <v>78</v>
      </c>
      <c r="D35" t="s">
        <v>9</v>
      </c>
      <c r="E35" t="s">
        <v>10</v>
      </c>
      <c r="F35" t="s">
        <v>301</v>
      </c>
    </row>
    <row r="36" spans="1:6" x14ac:dyDescent="0.35">
      <c r="A36">
        <v>35</v>
      </c>
      <c r="B36" t="s">
        <v>79</v>
      </c>
      <c r="C36" t="s">
        <v>80</v>
      </c>
      <c r="D36" t="s">
        <v>9</v>
      </c>
      <c r="E36" t="s">
        <v>10</v>
      </c>
      <c r="F36" t="s">
        <v>301</v>
      </c>
    </row>
    <row r="37" spans="1:6" x14ac:dyDescent="0.35">
      <c r="A37">
        <v>36</v>
      </c>
      <c r="B37" t="s">
        <v>82</v>
      </c>
      <c r="C37" t="s">
        <v>83</v>
      </c>
      <c r="D37" t="s">
        <v>81</v>
      </c>
      <c r="E37" t="s">
        <v>10</v>
      </c>
      <c r="F37" t="s">
        <v>301</v>
      </c>
    </row>
    <row r="38" spans="1:6" x14ac:dyDescent="0.35">
      <c r="A38">
        <v>37</v>
      </c>
      <c r="B38" t="s">
        <v>84</v>
      </c>
      <c r="C38" t="s">
        <v>85</v>
      </c>
      <c r="D38" t="s">
        <v>81</v>
      </c>
      <c r="E38" t="s">
        <v>10</v>
      </c>
      <c r="F38" t="s">
        <v>301</v>
      </c>
    </row>
    <row r="39" spans="1:6" x14ac:dyDescent="0.35">
      <c r="A39">
        <v>38</v>
      </c>
      <c r="B39" t="s">
        <v>86</v>
      </c>
      <c r="C39" t="s">
        <v>87</v>
      </c>
      <c r="D39" t="s">
        <v>81</v>
      </c>
      <c r="E39" t="s">
        <v>10</v>
      </c>
      <c r="F39" t="s">
        <v>301</v>
      </c>
    </row>
    <row r="40" spans="1:6" x14ac:dyDescent="0.35">
      <c r="A40">
        <v>39</v>
      </c>
      <c r="B40" t="s">
        <v>88</v>
      </c>
      <c r="C40" t="s">
        <v>89</v>
      </c>
      <c r="D40" t="s">
        <v>81</v>
      </c>
      <c r="E40" t="s">
        <v>10</v>
      </c>
      <c r="F40" t="s">
        <v>301</v>
      </c>
    </row>
    <row r="41" spans="1:6" x14ac:dyDescent="0.35">
      <c r="A41">
        <v>40</v>
      </c>
      <c r="B41" t="s">
        <v>90</v>
      </c>
      <c r="C41" t="s">
        <v>91</v>
      </c>
      <c r="D41" t="s">
        <v>81</v>
      </c>
      <c r="E41" t="s">
        <v>10</v>
      </c>
      <c r="F41" t="s">
        <v>301</v>
      </c>
    </row>
    <row r="42" spans="1:6" x14ac:dyDescent="0.35">
      <c r="A42">
        <v>41</v>
      </c>
      <c r="B42" t="s">
        <v>92</v>
      </c>
      <c r="C42" t="s">
        <v>93</v>
      </c>
      <c r="D42" t="s">
        <v>81</v>
      </c>
      <c r="E42" t="s">
        <v>10</v>
      </c>
      <c r="F42" t="s">
        <v>301</v>
      </c>
    </row>
    <row r="43" spans="1:6" x14ac:dyDescent="0.35">
      <c r="A43">
        <v>42</v>
      </c>
      <c r="B43" t="s">
        <v>94</v>
      </c>
      <c r="C43" t="s">
        <v>95</v>
      </c>
      <c r="D43" t="s">
        <v>81</v>
      </c>
      <c r="E43" t="s">
        <v>10</v>
      </c>
      <c r="F43" t="s">
        <v>301</v>
      </c>
    </row>
    <row r="44" spans="1:6" x14ac:dyDescent="0.35">
      <c r="A44">
        <v>43</v>
      </c>
      <c r="B44" t="s">
        <v>96</v>
      </c>
      <c r="C44" t="s">
        <v>97</v>
      </c>
      <c r="D44" t="s">
        <v>81</v>
      </c>
      <c r="E44" t="s">
        <v>10</v>
      </c>
      <c r="F44" t="s">
        <v>301</v>
      </c>
    </row>
    <row r="45" spans="1:6" x14ac:dyDescent="0.35">
      <c r="A45">
        <v>44</v>
      </c>
      <c r="B45" t="s">
        <v>98</v>
      </c>
      <c r="C45" t="s">
        <v>99</v>
      </c>
      <c r="D45" t="s">
        <v>81</v>
      </c>
      <c r="E45" t="s">
        <v>10</v>
      </c>
      <c r="F45" t="s">
        <v>302</v>
      </c>
    </row>
    <row r="46" spans="1:6" x14ac:dyDescent="0.35">
      <c r="A46">
        <v>45</v>
      </c>
      <c r="B46" t="s">
        <v>100</v>
      </c>
      <c r="C46" t="s">
        <v>101</v>
      </c>
      <c r="D46" t="s">
        <v>81</v>
      </c>
      <c r="E46" t="s">
        <v>10</v>
      </c>
      <c r="F46" t="s">
        <v>302</v>
      </c>
    </row>
    <row r="47" spans="1:6" x14ac:dyDescent="0.35">
      <c r="A47">
        <v>46</v>
      </c>
      <c r="B47" t="s">
        <v>102</v>
      </c>
      <c r="C47" t="s">
        <v>103</v>
      </c>
      <c r="D47" t="s">
        <v>81</v>
      </c>
      <c r="E47" t="s">
        <v>10</v>
      </c>
      <c r="F47" t="s">
        <v>302</v>
      </c>
    </row>
    <row r="48" spans="1:6" x14ac:dyDescent="0.35">
      <c r="A48">
        <v>47</v>
      </c>
      <c r="B48" t="s">
        <v>104</v>
      </c>
      <c r="C48" t="s">
        <v>105</v>
      </c>
      <c r="D48" t="s">
        <v>81</v>
      </c>
      <c r="E48" t="s">
        <v>10</v>
      </c>
      <c r="F48" t="s">
        <v>302</v>
      </c>
    </row>
    <row r="49" spans="1:6" x14ac:dyDescent="0.35">
      <c r="A49">
        <v>48</v>
      </c>
      <c r="B49" t="s">
        <v>106</v>
      </c>
      <c r="C49" t="s">
        <v>107</v>
      </c>
      <c r="D49" t="s">
        <v>81</v>
      </c>
      <c r="E49" t="s">
        <v>10</v>
      </c>
      <c r="F49" t="s">
        <v>302</v>
      </c>
    </row>
    <row r="50" spans="1:6" x14ac:dyDescent="0.35">
      <c r="A50">
        <v>49</v>
      </c>
      <c r="B50" t="s">
        <v>108</v>
      </c>
      <c r="C50" t="s">
        <v>109</v>
      </c>
      <c r="D50" t="s">
        <v>81</v>
      </c>
      <c r="E50" t="s">
        <v>10</v>
      </c>
      <c r="F50" t="s">
        <v>302</v>
      </c>
    </row>
    <row r="51" spans="1:6" x14ac:dyDescent="0.35">
      <c r="A51">
        <v>50</v>
      </c>
      <c r="B51" t="s">
        <v>110</v>
      </c>
      <c r="C51" t="s">
        <v>111</v>
      </c>
      <c r="D51" t="s">
        <v>81</v>
      </c>
      <c r="E51" t="s">
        <v>10</v>
      </c>
      <c r="F51" t="s">
        <v>302</v>
      </c>
    </row>
    <row r="52" spans="1:6" x14ac:dyDescent="0.35">
      <c r="A52">
        <v>51</v>
      </c>
      <c r="B52" t="s">
        <v>112</v>
      </c>
      <c r="C52" t="s">
        <v>113</v>
      </c>
      <c r="D52" t="s">
        <v>81</v>
      </c>
      <c r="E52" t="s">
        <v>10</v>
      </c>
      <c r="F52" t="s">
        <v>302</v>
      </c>
    </row>
    <row r="53" spans="1:6" x14ac:dyDescent="0.35">
      <c r="A53">
        <v>52</v>
      </c>
      <c r="B53" t="s">
        <v>114</v>
      </c>
      <c r="C53" t="s">
        <v>115</v>
      </c>
      <c r="D53" t="s">
        <v>81</v>
      </c>
      <c r="E53" t="s">
        <v>10</v>
      </c>
      <c r="F53" t="s">
        <v>302</v>
      </c>
    </row>
    <row r="54" spans="1:6" x14ac:dyDescent="0.35">
      <c r="A54">
        <v>53</v>
      </c>
      <c r="B54" t="s">
        <v>116</v>
      </c>
      <c r="C54" t="s">
        <v>117</v>
      </c>
      <c r="D54" t="s">
        <v>81</v>
      </c>
      <c r="E54" t="s">
        <v>10</v>
      </c>
      <c r="F54" t="s">
        <v>302</v>
      </c>
    </row>
    <row r="55" spans="1:6" x14ac:dyDescent="0.35">
      <c r="A55">
        <v>54</v>
      </c>
      <c r="B55" t="s">
        <v>118</v>
      </c>
      <c r="C55" t="s">
        <v>119</v>
      </c>
      <c r="D55" t="s">
        <v>81</v>
      </c>
      <c r="E55" t="s">
        <v>10</v>
      </c>
      <c r="F55" t="s">
        <v>302</v>
      </c>
    </row>
    <row r="56" spans="1:6" x14ac:dyDescent="0.35">
      <c r="A56">
        <v>55</v>
      </c>
      <c r="B56" t="s">
        <v>120</v>
      </c>
      <c r="C56" t="s">
        <v>121</v>
      </c>
      <c r="D56" t="s">
        <v>81</v>
      </c>
      <c r="E56" t="s">
        <v>10</v>
      </c>
      <c r="F56" t="s">
        <v>302</v>
      </c>
    </row>
    <row r="57" spans="1:6" x14ac:dyDescent="0.35">
      <c r="A57">
        <v>56</v>
      </c>
      <c r="B57" t="s">
        <v>122</v>
      </c>
      <c r="C57" t="s">
        <v>123</v>
      </c>
      <c r="D57" t="s">
        <v>81</v>
      </c>
      <c r="E57" t="s">
        <v>10</v>
      </c>
      <c r="F57" t="s">
        <v>302</v>
      </c>
    </row>
    <row r="58" spans="1:6" x14ac:dyDescent="0.35">
      <c r="A58">
        <v>57</v>
      </c>
      <c r="B58" t="s">
        <v>124</v>
      </c>
      <c r="C58" t="s">
        <v>125</v>
      </c>
      <c r="D58" t="s">
        <v>81</v>
      </c>
      <c r="E58" t="s">
        <v>10</v>
      </c>
      <c r="F58" t="s">
        <v>302</v>
      </c>
    </row>
    <row r="59" spans="1:6" x14ac:dyDescent="0.35">
      <c r="A59">
        <v>58</v>
      </c>
      <c r="B59" t="s">
        <v>126</v>
      </c>
      <c r="C59" t="s">
        <v>127</v>
      </c>
      <c r="D59" t="s">
        <v>81</v>
      </c>
      <c r="E59" t="s">
        <v>10</v>
      </c>
      <c r="F59" t="s">
        <v>300</v>
      </c>
    </row>
    <row r="60" spans="1:6" x14ac:dyDescent="0.35">
      <c r="A60">
        <v>59</v>
      </c>
      <c r="B60" t="s">
        <v>128</v>
      </c>
      <c r="C60" t="s">
        <v>129</v>
      </c>
      <c r="D60" t="s">
        <v>81</v>
      </c>
      <c r="E60" t="s">
        <v>10</v>
      </c>
      <c r="F60" t="s">
        <v>300</v>
      </c>
    </row>
    <row r="61" spans="1:6" x14ac:dyDescent="0.35">
      <c r="A61">
        <v>60</v>
      </c>
      <c r="B61" t="s">
        <v>130</v>
      </c>
      <c r="C61" t="s">
        <v>131</v>
      </c>
      <c r="D61" t="s">
        <v>81</v>
      </c>
      <c r="E61" t="s">
        <v>10</v>
      </c>
      <c r="F61" t="s">
        <v>300</v>
      </c>
    </row>
    <row r="62" spans="1:6" x14ac:dyDescent="0.35">
      <c r="A62">
        <v>61</v>
      </c>
      <c r="B62" t="s">
        <v>132</v>
      </c>
      <c r="C62" t="s">
        <v>133</v>
      </c>
      <c r="D62" t="s">
        <v>81</v>
      </c>
      <c r="E62" t="s">
        <v>10</v>
      </c>
      <c r="F62" t="s">
        <v>300</v>
      </c>
    </row>
    <row r="63" spans="1:6" x14ac:dyDescent="0.35">
      <c r="A63">
        <v>62</v>
      </c>
      <c r="B63" t="s">
        <v>134</v>
      </c>
      <c r="C63" t="s">
        <v>135</v>
      </c>
      <c r="D63" t="s">
        <v>81</v>
      </c>
      <c r="E63" t="s">
        <v>10</v>
      </c>
      <c r="F63" t="s">
        <v>300</v>
      </c>
    </row>
    <row r="64" spans="1:6" x14ac:dyDescent="0.35">
      <c r="A64">
        <v>63</v>
      </c>
      <c r="B64" t="s">
        <v>136</v>
      </c>
      <c r="C64" t="s">
        <v>137</v>
      </c>
      <c r="D64" t="s">
        <v>81</v>
      </c>
      <c r="E64" t="s">
        <v>10</v>
      </c>
      <c r="F64" t="s">
        <v>300</v>
      </c>
    </row>
    <row r="65" spans="1:6" x14ac:dyDescent="0.35">
      <c r="A65">
        <v>64</v>
      </c>
      <c r="B65" t="s">
        <v>138</v>
      </c>
      <c r="C65" t="s">
        <v>139</v>
      </c>
      <c r="D65" t="s">
        <v>81</v>
      </c>
      <c r="E65" t="s">
        <v>10</v>
      </c>
      <c r="F65" t="s">
        <v>300</v>
      </c>
    </row>
    <row r="66" spans="1:6" x14ac:dyDescent="0.35">
      <c r="A66">
        <v>65</v>
      </c>
      <c r="B66" t="s">
        <v>140</v>
      </c>
      <c r="C66" t="s">
        <v>141</v>
      </c>
      <c r="D66" t="s">
        <v>81</v>
      </c>
      <c r="E66" t="s">
        <v>10</v>
      </c>
      <c r="F66" t="s">
        <v>300</v>
      </c>
    </row>
    <row r="67" spans="1:6" x14ac:dyDescent="0.35">
      <c r="A67">
        <v>66</v>
      </c>
      <c r="B67" t="s">
        <v>142</v>
      </c>
      <c r="C67" t="s">
        <v>143</v>
      </c>
      <c r="D67" t="s">
        <v>81</v>
      </c>
      <c r="E67" t="s">
        <v>10</v>
      </c>
      <c r="F67" t="s">
        <v>300</v>
      </c>
    </row>
    <row r="68" spans="1:6" x14ac:dyDescent="0.35">
      <c r="A68">
        <v>67</v>
      </c>
      <c r="B68" t="s">
        <v>144</v>
      </c>
      <c r="C68" t="s">
        <v>145</v>
      </c>
      <c r="D68" t="s">
        <v>81</v>
      </c>
      <c r="E68" t="s">
        <v>10</v>
      </c>
      <c r="F68" t="s">
        <v>300</v>
      </c>
    </row>
    <row r="69" spans="1:6" x14ac:dyDescent="0.35">
      <c r="A69">
        <v>68</v>
      </c>
      <c r="B69" t="s">
        <v>146</v>
      </c>
      <c r="C69" t="s">
        <v>147</v>
      </c>
      <c r="D69" t="s">
        <v>81</v>
      </c>
      <c r="E69" t="s">
        <v>10</v>
      </c>
      <c r="F69" t="s">
        <v>300</v>
      </c>
    </row>
    <row r="70" spans="1:6" x14ac:dyDescent="0.35">
      <c r="A70">
        <v>69</v>
      </c>
      <c r="B70" t="s">
        <v>148</v>
      </c>
      <c r="C70" t="s">
        <v>149</v>
      </c>
      <c r="D70" t="s">
        <v>81</v>
      </c>
      <c r="E70" t="s">
        <v>10</v>
      </c>
      <c r="F70" t="s">
        <v>300</v>
      </c>
    </row>
    <row r="71" spans="1:6" x14ac:dyDescent="0.35">
      <c r="A71">
        <v>70</v>
      </c>
      <c r="B71" t="s">
        <v>150</v>
      </c>
      <c r="C71" t="s">
        <v>151</v>
      </c>
      <c r="D71" t="s">
        <v>81</v>
      </c>
      <c r="E71" t="s">
        <v>10</v>
      </c>
      <c r="F71" t="s">
        <v>300</v>
      </c>
    </row>
    <row r="72" spans="1:6" x14ac:dyDescent="0.35">
      <c r="A72">
        <v>71</v>
      </c>
      <c r="B72" t="s">
        <v>153</v>
      </c>
      <c r="C72" t="s">
        <v>154</v>
      </c>
      <c r="D72" t="s">
        <v>152</v>
      </c>
      <c r="E72" t="s">
        <v>238</v>
      </c>
      <c r="F72" t="s">
        <v>300</v>
      </c>
    </row>
    <row r="73" spans="1:6" x14ac:dyDescent="0.35">
      <c r="A73">
        <v>72</v>
      </c>
      <c r="B73" t="s">
        <v>155</v>
      </c>
      <c r="C73" t="s">
        <v>156</v>
      </c>
      <c r="D73" t="s">
        <v>152</v>
      </c>
      <c r="E73" t="s">
        <v>238</v>
      </c>
      <c r="F73" t="s">
        <v>300</v>
      </c>
    </row>
    <row r="74" spans="1:6" x14ac:dyDescent="0.35">
      <c r="A74">
        <v>73</v>
      </c>
      <c r="B74" t="s">
        <v>157</v>
      </c>
      <c r="C74" t="s">
        <v>158</v>
      </c>
      <c r="D74" t="s">
        <v>152</v>
      </c>
      <c r="E74" t="s">
        <v>238</v>
      </c>
      <c r="F74" t="s">
        <v>300</v>
      </c>
    </row>
    <row r="75" spans="1:6" x14ac:dyDescent="0.35">
      <c r="A75">
        <v>74</v>
      </c>
      <c r="B75" t="s">
        <v>159</v>
      </c>
      <c r="C75" t="s">
        <v>160</v>
      </c>
      <c r="D75" t="s">
        <v>152</v>
      </c>
      <c r="E75" t="s">
        <v>238</v>
      </c>
      <c r="F75" t="s">
        <v>300</v>
      </c>
    </row>
    <row r="76" spans="1:6" x14ac:dyDescent="0.35">
      <c r="A76">
        <v>75</v>
      </c>
      <c r="B76" t="s">
        <v>162</v>
      </c>
      <c r="C76" t="s">
        <v>163</v>
      </c>
      <c r="D76" t="s">
        <v>161</v>
      </c>
      <c r="E76" t="s">
        <v>238</v>
      </c>
      <c r="F76" t="s">
        <v>300</v>
      </c>
    </row>
    <row r="77" spans="1:6" x14ac:dyDescent="0.35">
      <c r="A77">
        <v>76</v>
      </c>
      <c r="B77" t="s">
        <v>164</v>
      </c>
      <c r="C77" t="s">
        <v>165</v>
      </c>
      <c r="D77" t="s">
        <v>161</v>
      </c>
      <c r="E77" t="s">
        <v>238</v>
      </c>
      <c r="F77" t="s">
        <v>300</v>
      </c>
    </row>
    <row r="78" spans="1:6" x14ac:dyDescent="0.35">
      <c r="A78">
        <v>77</v>
      </c>
      <c r="B78" t="s">
        <v>166</v>
      </c>
      <c r="C78" t="s">
        <v>167</v>
      </c>
      <c r="D78" t="s">
        <v>161</v>
      </c>
      <c r="E78" t="s">
        <v>238</v>
      </c>
      <c r="F78" t="s">
        <v>300</v>
      </c>
    </row>
    <row r="79" spans="1:6" x14ac:dyDescent="0.35">
      <c r="A79">
        <v>78</v>
      </c>
      <c r="B79" t="s">
        <v>168</v>
      </c>
      <c r="C79" t="s">
        <v>169</v>
      </c>
      <c r="D79" t="s">
        <v>161</v>
      </c>
      <c r="E79" t="s">
        <v>238</v>
      </c>
      <c r="F79" t="s">
        <v>300</v>
      </c>
    </row>
    <row r="80" spans="1:6" x14ac:dyDescent="0.35">
      <c r="A80">
        <v>79</v>
      </c>
      <c r="B80" t="s">
        <v>171</v>
      </c>
      <c r="C80" t="s">
        <v>172</v>
      </c>
      <c r="D80" t="s">
        <v>170</v>
      </c>
      <c r="E80" t="s">
        <v>239</v>
      </c>
      <c r="F80" t="s">
        <v>300</v>
      </c>
    </row>
    <row r="81" spans="1:6" x14ac:dyDescent="0.35">
      <c r="A81">
        <v>80</v>
      </c>
      <c r="B81" t="s">
        <v>173</v>
      </c>
      <c r="C81" t="s">
        <v>174</v>
      </c>
      <c r="D81" t="s">
        <v>170</v>
      </c>
      <c r="E81" t="s">
        <v>239</v>
      </c>
      <c r="F81" t="s">
        <v>300</v>
      </c>
    </row>
    <row r="82" spans="1:6" x14ac:dyDescent="0.35">
      <c r="A82">
        <v>81</v>
      </c>
      <c r="B82" t="s">
        <v>175</v>
      </c>
      <c r="C82" t="s">
        <v>176</v>
      </c>
      <c r="D82" t="s">
        <v>170</v>
      </c>
      <c r="E82" t="s">
        <v>239</v>
      </c>
      <c r="F82" t="s">
        <v>300</v>
      </c>
    </row>
    <row r="83" spans="1:6" x14ac:dyDescent="0.35">
      <c r="A83">
        <v>82</v>
      </c>
      <c r="B83" t="s">
        <v>177</v>
      </c>
      <c r="C83" t="s">
        <v>178</v>
      </c>
      <c r="D83" t="s">
        <v>170</v>
      </c>
      <c r="E83" t="s">
        <v>239</v>
      </c>
      <c r="F83" t="s">
        <v>300</v>
      </c>
    </row>
    <row r="84" spans="1:6" x14ac:dyDescent="0.35">
      <c r="A84">
        <v>83</v>
      </c>
      <c r="B84" t="s">
        <v>179</v>
      </c>
      <c r="C84" t="s">
        <v>180</v>
      </c>
      <c r="D84" t="s">
        <v>170</v>
      </c>
      <c r="E84" t="s">
        <v>239</v>
      </c>
      <c r="F84" t="s">
        <v>300</v>
      </c>
    </row>
    <row r="85" spans="1:6" x14ac:dyDescent="0.35">
      <c r="A85">
        <v>84</v>
      </c>
      <c r="B85" t="s">
        <v>181</v>
      </c>
      <c r="C85" t="s">
        <v>182</v>
      </c>
      <c r="D85" t="s">
        <v>170</v>
      </c>
      <c r="E85" t="s">
        <v>239</v>
      </c>
      <c r="F85" t="s">
        <v>300</v>
      </c>
    </row>
    <row r="86" spans="1:6" x14ac:dyDescent="0.35">
      <c r="A86">
        <v>85</v>
      </c>
      <c r="B86" t="s">
        <v>183</v>
      </c>
      <c r="C86" t="s">
        <v>184</v>
      </c>
      <c r="D86" t="s">
        <v>170</v>
      </c>
      <c r="E86" t="s">
        <v>239</v>
      </c>
      <c r="F86" t="s">
        <v>300</v>
      </c>
    </row>
    <row r="87" spans="1:6" x14ac:dyDescent="0.35">
      <c r="A87">
        <v>86</v>
      </c>
      <c r="B87" t="s">
        <v>185</v>
      </c>
      <c r="C87" t="s">
        <v>186</v>
      </c>
      <c r="D87" t="s">
        <v>170</v>
      </c>
      <c r="E87" t="s">
        <v>239</v>
      </c>
      <c r="F87" t="s">
        <v>300</v>
      </c>
    </row>
    <row r="88" spans="1:6" x14ac:dyDescent="0.35">
      <c r="A88">
        <v>87</v>
      </c>
      <c r="B88" t="s">
        <v>187</v>
      </c>
      <c r="C88" t="s">
        <v>188</v>
      </c>
      <c r="D88" t="s">
        <v>170</v>
      </c>
      <c r="E88" t="s">
        <v>239</v>
      </c>
      <c r="F88" t="s">
        <v>300</v>
      </c>
    </row>
    <row r="89" spans="1:6" x14ac:dyDescent="0.35">
      <c r="A89">
        <v>88</v>
      </c>
      <c r="B89" t="s">
        <v>189</v>
      </c>
      <c r="C89" t="s">
        <v>190</v>
      </c>
      <c r="D89" t="s">
        <v>170</v>
      </c>
      <c r="E89" t="s">
        <v>239</v>
      </c>
      <c r="F89" t="s">
        <v>300</v>
      </c>
    </row>
    <row r="90" spans="1:6" x14ac:dyDescent="0.35">
      <c r="A90">
        <v>89</v>
      </c>
      <c r="B90" t="s">
        <v>191</v>
      </c>
      <c r="C90" t="s">
        <v>192</v>
      </c>
      <c r="D90" t="s">
        <v>170</v>
      </c>
      <c r="E90" t="s">
        <v>239</v>
      </c>
      <c r="F90" t="s">
        <v>300</v>
      </c>
    </row>
    <row r="91" spans="1:6" x14ac:dyDescent="0.35">
      <c r="A91">
        <v>90</v>
      </c>
      <c r="B91" t="s">
        <v>193</v>
      </c>
      <c r="C91" t="s">
        <v>194</v>
      </c>
      <c r="D91" t="s">
        <v>170</v>
      </c>
      <c r="E91" t="s">
        <v>239</v>
      </c>
      <c r="F91" t="s">
        <v>300</v>
      </c>
    </row>
    <row r="92" spans="1:6" x14ac:dyDescent="0.35">
      <c r="A92">
        <v>91</v>
      </c>
      <c r="B92" t="s">
        <v>195</v>
      </c>
      <c r="C92" t="s">
        <v>196</v>
      </c>
      <c r="D92" t="s">
        <v>170</v>
      </c>
      <c r="E92" t="s">
        <v>239</v>
      </c>
      <c r="F92" t="s">
        <v>301</v>
      </c>
    </row>
    <row r="93" spans="1:6" x14ac:dyDescent="0.35">
      <c r="A93">
        <v>92</v>
      </c>
      <c r="B93" t="s">
        <v>197</v>
      </c>
      <c r="C93" t="s">
        <v>198</v>
      </c>
      <c r="D93" t="s">
        <v>170</v>
      </c>
      <c r="E93" t="s">
        <v>239</v>
      </c>
      <c r="F93" t="s">
        <v>301</v>
      </c>
    </row>
    <row r="94" spans="1:6" x14ac:dyDescent="0.35">
      <c r="A94">
        <v>93</v>
      </c>
      <c r="B94" t="s">
        <v>199</v>
      </c>
      <c r="C94" t="s">
        <v>200</v>
      </c>
      <c r="D94" t="s">
        <v>170</v>
      </c>
      <c r="E94" t="s">
        <v>239</v>
      </c>
      <c r="F94" t="s">
        <v>301</v>
      </c>
    </row>
    <row r="95" spans="1:6" x14ac:dyDescent="0.35">
      <c r="A95">
        <v>94</v>
      </c>
      <c r="B95" t="s">
        <v>201</v>
      </c>
      <c r="C95" t="s">
        <v>202</v>
      </c>
      <c r="D95" t="s">
        <v>170</v>
      </c>
      <c r="E95" t="s">
        <v>239</v>
      </c>
      <c r="F95" t="s">
        <v>301</v>
      </c>
    </row>
    <row r="96" spans="1:6" x14ac:dyDescent="0.35">
      <c r="A96">
        <v>95</v>
      </c>
      <c r="B96" t="s">
        <v>203</v>
      </c>
      <c r="C96" t="s">
        <v>204</v>
      </c>
      <c r="D96" t="s">
        <v>170</v>
      </c>
      <c r="E96" t="s">
        <v>239</v>
      </c>
      <c r="F96" t="s">
        <v>301</v>
      </c>
    </row>
    <row r="97" spans="1:6" x14ac:dyDescent="0.35">
      <c r="A97">
        <v>96</v>
      </c>
      <c r="B97" t="s">
        <v>205</v>
      </c>
      <c r="C97" t="s">
        <v>206</v>
      </c>
      <c r="D97" t="s">
        <v>170</v>
      </c>
      <c r="E97" t="s">
        <v>239</v>
      </c>
      <c r="F97" t="s">
        <v>301</v>
      </c>
    </row>
    <row r="98" spans="1:6" x14ac:dyDescent="0.35">
      <c r="A98">
        <v>97</v>
      </c>
      <c r="B98" t="s">
        <v>207</v>
      </c>
      <c r="C98" t="s">
        <v>208</v>
      </c>
      <c r="D98" t="s">
        <v>170</v>
      </c>
      <c r="E98" t="s">
        <v>239</v>
      </c>
      <c r="F98" t="s">
        <v>301</v>
      </c>
    </row>
    <row r="99" spans="1:6" x14ac:dyDescent="0.35">
      <c r="A99">
        <v>98</v>
      </c>
      <c r="B99" t="s">
        <v>209</v>
      </c>
      <c r="C99" t="s">
        <v>210</v>
      </c>
      <c r="D99" t="s">
        <v>170</v>
      </c>
      <c r="E99" t="s">
        <v>239</v>
      </c>
      <c r="F99" t="s">
        <v>301</v>
      </c>
    </row>
    <row r="100" spans="1:6" x14ac:dyDescent="0.35">
      <c r="A100">
        <v>99</v>
      </c>
      <c r="B100" t="s">
        <v>211</v>
      </c>
      <c r="C100" t="s">
        <v>212</v>
      </c>
      <c r="D100" t="s">
        <v>170</v>
      </c>
      <c r="E100" t="s">
        <v>239</v>
      </c>
      <c r="F100" t="s">
        <v>301</v>
      </c>
    </row>
    <row r="101" spans="1:6" x14ac:dyDescent="0.35">
      <c r="A101">
        <v>100</v>
      </c>
      <c r="B101" t="s">
        <v>213</v>
      </c>
      <c r="C101" t="s">
        <v>214</v>
      </c>
      <c r="D101" t="s">
        <v>170</v>
      </c>
      <c r="E101" t="s">
        <v>239</v>
      </c>
      <c r="F101" t="s">
        <v>301</v>
      </c>
    </row>
    <row r="102" spans="1:6" x14ac:dyDescent="0.35">
      <c r="A102">
        <v>101</v>
      </c>
      <c r="B102" t="s">
        <v>215</v>
      </c>
      <c r="C102" t="s">
        <v>216</v>
      </c>
      <c r="D102" t="s">
        <v>170</v>
      </c>
      <c r="E102" t="s">
        <v>239</v>
      </c>
      <c r="F102" t="s">
        <v>301</v>
      </c>
    </row>
    <row r="103" spans="1:6" x14ac:dyDescent="0.35">
      <c r="A103">
        <v>102</v>
      </c>
      <c r="B103" t="s">
        <v>218</v>
      </c>
      <c r="C103" t="s">
        <v>219</v>
      </c>
      <c r="D103" t="s">
        <v>217</v>
      </c>
      <c r="E103" t="s">
        <v>239</v>
      </c>
      <c r="F103" t="s">
        <v>301</v>
      </c>
    </row>
    <row r="104" spans="1:6" x14ac:dyDescent="0.35">
      <c r="A104">
        <v>103</v>
      </c>
      <c r="B104" t="s">
        <v>220</v>
      </c>
      <c r="C104" t="s">
        <v>221</v>
      </c>
      <c r="D104" t="s">
        <v>217</v>
      </c>
      <c r="E104" t="s">
        <v>239</v>
      </c>
      <c r="F104" t="s">
        <v>301</v>
      </c>
    </row>
    <row r="105" spans="1:6" x14ac:dyDescent="0.35">
      <c r="A105">
        <v>104</v>
      </c>
      <c r="B105" t="s">
        <v>222</v>
      </c>
      <c r="C105" t="s">
        <v>223</v>
      </c>
      <c r="D105" t="s">
        <v>217</v>
      </c>
      <c r="E105" t="s">
        <v>239</v>
      </c>
      <c r="F105" t="s">
        <v>301</v>
      </c>
    </row>
    <row r="106" spans="1:6" x14ac:dyDescent="0.35">
      <c r="A106">
        <v>105</v>
      </c>
      <c r="B106" t="s">
        <v>225</v>
      </c>
      <c r="C106" t="s">
        <v>226</v>
      </c>
      <c r="D106" t="s">
        <v>224</v>
      </c>
      <c r="E106" t="s">
        <v>239</v>
      </c>
      <c r="F106" t="s">
        <v>301</v>
      </c>
    </row>
    <row r="107" spans="1:6" x14ac:dyDescent="0.35">
      <c r="A107">
        <v>106</v>
      </c>
      <c r="B107" t="s">
        <v>227</v>
      </c>
      <c r="C107" t="s">
        <v>228</v>
      </c>
      <c r="D107" t="s">
        <v>224</v>
      </c>
      <c r="E107" t="s">
        <v>239</v>
      </c>
      <c r="F107" t="s">
        <v>301</v>
      </c>
    </row>
    <row r="108" spans="1:6" x14ac:dyDescent="0.35">
      <c r="A108">
        <v>107</v>
      </c>
      <c r="B108" t="s">
        <v>229</v>
      </c>
      <c r="C108" t="s">
        <v>230</v>
      </c>
      <c r="D108" t="s">
        <v>224</v>
      </c>
      <c r="E108" t="s">
        <v>239</v>
      </c>
      <c r="F108" t="s">
        <v>301</v>
      </c>
    </row>
    <row r="109" spans="1:6" x14ac:dyDescent="0.35">
      <c r="A109">
        <v>108</v>
      </c>
      <c r="B109" t="s">
        <v>231</v>
      </c>
      <c r="C109" t="s">
        <v>232</v>
      </c>
      <c r="D109" t="s">
        <v>224</v>
      </c>
      <c r="E109" t="s">
        <v>239</v>
      </c>
      <c r="F109" t="s">
        <v>301</v>
      </c>
    </row>
    <row r="110" spans="1:6" x14ac:dyDescent="0.35">
      <c r="A110">
        <v>109</v>
      </c>
      <c r="B110" t="s">
        <v>233</v>
      </c>
      <c r="C110" t="s">
        <v>234</v>
      </c>
      <c r="D110" t="s">
        <v>224</v>
      </c>
      <c r="E110" t="s">
        <v>239</v>
      </c>
      <c r="F110" t="s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86BF-5909-4F09-9648-B5F312D2AF1C}">
  <dimension ref="A1:C8"/>
  <sheetViews>
    <sheetView workbookViewId="0">
      <selection activeCell="B2" sqref="B2"/>
    </sheetView>
  </sheetViews>
  <sheetFormatPr defaultRowHeight="14.5" x14ac:dyDescent="0.35"/>
  <cols>
    <col min="1" max="1" width="6.36328125" bestFit="1" customWidth="1"/>
    <col min="2" max="2" width="10.54296875" bestFit="1" customWidth="1"/>
    <col min="3" max="3" width="21.453125" bestFit="1" customWidth="1"/>
  </cols>
  <sheetData>
    <row r="1" spans="1:3" x14ac:dyDescent="0.35">
      <c r="A1" t="s">
        <v>6</v>
      </c>
      <c r="B1" t="s">
        <v>7</v>
      </c>
      <c r="C1" t="s">
        <v>292</v>
      </c>
    </row>
    <row r="2" spans="1:3" x14ac:dyDescent="0.35">
      <c r="A2">
        <v>1</v>
      </c>
      <c r="B2" t="s">
        <v>240</v>
      </c>
      <c r="C2" t="s">
        <v>293</v>
      </c>
    </row>
    <row r="3" spans="1:3" x14ac:dyDescent="0.35">
      <c r="A3">
        <v>2</v>
      </c>
      <c r="B3" t="s">
        <v>294</v>
      </c>
      <c r="C3" t="s">
        <v>293</v>
      </c>
    </row>
    <row r="4" spans="1:3" x14ac:dyDescent="0.35">
      <c r="A4">
        <v>3</v>
      </c>
      <c r="B4" t="s">
        <v>241</v>
      </c>
      <c r="C4" t="s">
        <v>295</v>
      </c>
    </row>
    <row r="5" spans="1:3" x14ac:dyDescent="0.35">
      <c r="A5">
        <v>4</v>
      </c>
      <c r="B5" t="s">
        <v>242</v>
      </c>
      <c r="C5" t="s">
        <v>295</v>
      </c>
    </row>
    <row r="6" spans="1:3" x14ac:dyDescent="0.35">
      <c r="A6">
        <v>5</v>
      </c>
      <c r="B6" t="s">
        <v>243</v>
      </c>
      <c r="C6" t="s">
        <v>295</v>
      </c>
    </row>
    <row r="7" spans="1:3" x14ac:dyDescent="0.35">
      <c r="A7">
        <v>6</v>
      </c>
      <c r="B7" t="s">
        <v>244</v>
      </c>
      <c r="C7" t="s">
        <v>296</v>
      </c>
    </row>
    <row r="8" spans="1:3" x14ac:dyDescent="0.35">
      <c r="A8">
        <v>7</v>
      </c>
      <c r="B8" t="s">
        <v>245</v>
      </c>
      <c r="C8" t="s">
        <v>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3FDE-F719-45F1-AB4C-AC0B6F07CB01}">
  <dimension ref="B2:O18"/>
  <sheetViews>
    <sheetView workbookViewId="0">
      <selection activeCell="E11" sqref="E11"/>
    </sheetView>
  </sheetViews>
  <sheetFormatPr defaultRowHeight="14.5" x14ac:dyDescent="0.35"/>
  <cols>
    <col min="1" max="1" width="11.26953125" bestFit="1" customWidth="1"/>
    <col min="2" max="2" width="15" bestFit="1" customWidth="1"/>
    <col min="3" max="3" width="36.08984375" bestFit="1" customWidth="1"/>
    <col min="4" max="4" width="11.453125" bestFit="1" customWidth="1"/>
    <col min="5" max="5" width="10.36328125" bestFit="1" customWidth="1"/>
    <col min="6" max="7" width="6.81640625" bestFit="1" customWidth="1"/>
    <col min="8" max="8" width="7.81640625" bestFit="1" customWidth="1"/>
    <col min="9" max="9" width="13.7265625" bestFit="1" customWidth="1"/>
    <col min="10" max="10" width="7.1796875" bestFit="1" customWidth="1"/>
    <col min="11" max="12" width="11.81640625" bestFit="1" customWidth="1"/>
    <col min="13" max="13" width="10.36328125" bestFit="1" customWidth="1"/>
    <col min="14" max="14" width="6.81640625" bestFit="1" customWidth="1"/>
  </cols>
  <sheetData>
    <row r="2" spans="2:15" x14ac:dyDescent="0.35">
      <c r="B2" t="s">
        <v>1</v>
      </c>
      <c r="C2" t="s">
        <v>285</v>
      </c>
      <c r="D2" t="s">
        <v>250</v>
      </c>
      <c r="E2" t="s">
        <v>286</v>
      </c>
      <c r="I2" t="s">
        <v>297</v>
      </c>
    </row>
    <row r="3" spans="2:15" x14ac:dyDescent="0.35">
      <c r="B3">
        <v>1</v>
      </c>
      <c r="C3">
        <v>100000</v>
      </c>
      <c r="D3">
        <v>200000</v>
      </c>
      <c r="E3">
        <v>300000</v>
      </c>
    </row>
    <row r="4" spans="2:15" x14ac:dyDescent="0.35">
      <c r="B4">
        <v>2</v>
      </c>
      <c r="C4">
        <v>105000</v>
      </c>
      <c r="D4">
        <v>205000</v>
      </c>
      <c r="E4">
        <v>305000</v>
      </c>
      <c r="H4" t="s">
        <v>1</v>
      </c>
      <c r="I4" t="s">
        <v>0</v>
      </c>
      <c r="J4" t="s">
        <v>265</v>
      </c>
      <c r="K4" t="s">
        <v>285</v>
      </c>
      <c r="L4" t="s">
        <v>250</v>
      </c>
      <c r="M4" t="s">
        <v>286</v>
      </c>
    </row>
    <row r="5" spans="2:15" x14ac:dyDescent="0.35">
      <c r="B5">
        <v>3</v>
      </c>
      <c r="C5">
        <v>110000</v>
      </c>
      <c r="D5">
        <v>210000</v>
      </c>
      <c r="E5">
        <v>310000</v>
      </c>
      <c r="H5">
        <v>1</v>
      </c>
      <c r="I5">
        <v>1</v>
      </c>
      <c r="J5">
        <v>10000</v>
      </c>
      <c r="K5">
        <f>($J$5)/SUM($J$5,$J$6)*C3</f>
        <v>33333.333333333328</v>
      </c>
      <c r="L5">
        <f>($J$5)/SUM($J$5,$J$6)*D3</f>
        <v>66666.666666666657</v>
      </c>
      <c r="M5">
        <f t="shared" ref="M5" si="0">($J$5)/SUM($J$5,$J$6)*E3</f>
        <v>100000</v>
      </c>
    </row>
    <row r="6" spans="2:15" x14ac:dyDescent="0.35">
      <c r="B6">
        <v>4</v>
      </c>
      <c r="C6">
        <v>115000</v>
      </c>
      <c r="D6">
        <v>215000</v>
      </c>
      <c r="E6">
        <v>315000</v>
      </c>
      <c r="H6">
        <v>1</v>
      </c>
      <c r="I6">
        <v>2</v>
      </c>
      <c r="J6">
        <v>20000</v>
      </c>
      <c r="K6">
        <f>($J$6)/SUM($J$5,$J$6)*C3</f>
        <v>66666.666666666657</v>
      </c>
      <c r="L6">
        <f>($J$6)/SUM($J$5,$J$6)*D3</f>
        <v>133333.33333333331</v>
      </c>
      <c r="M6">
        <f>($J$6)/SUM($J$5,$J$6)*E3</f>
        <v>200000</v>
      </c>
    </row>
    <row r="7" spans="2:15" x14ac:dyDescent="0.35">
      <c r="B7">
        <v>5</v>
      </c>
      <c r="C7">
        <v>120000</v>
      </c>
      <c r="D7">
        <v>220000</v>
      </c>
      <c r="E7">
        <v>320000</v>
      </c>
      <c r="H7">
        <v>2</v>
      </c>
      <c r="I7">
        <v>3</v>
      </c>
      <c r="J7">
        <v>3000</v>
      </c>
      <c r="K7">
        <f>J7/J7*C4</f>
        <v>105000</v>
      </c>
      <c r="L7">
        <f t="shared" ref="L7:M7" si="1">K7/K7*D4</f>
        <v>205000</v>
      </c>
      <c r="M7">
        <f t="shared" si="1"/>
        <v>305000</v>
      </c>
    </row>
    <row r="8" spans="2:15" x14ac:dyDescent="0.35">
      <c r="B8">
        <v>6</v>
      </c>
      <c r="C8">
        <v>125000</v>
      </c>
      <c r="D8">
        <v>225000</v>
      </c>
      <c r="E8">
        <v>325000</v>
      </c>
    </row>
    <row r="9" spans="2:15" x14ac:dyDescent="0.35">
      <c r="B9">
        <v>7</v>
      </c>
      <c r="C9">
        <v>130000</v>
      </c>
      <c r="D9">
        <v>230000</v>
      </c>
      <c r="E9">
        <v>330000</v>
      </c>
    </row>
    <row r="10" spans="2:15" x14ac:dyDescent="0.35">
      <c r="B10" t="s">
        <v>316</v>
      </c>
      <c r="C10" s="37">
        <v>0.05</v>
      </c>
    </row>
    <row r="11" spans="2:15" x14ac:dyDescent="0.35">
      <c r="H11" t="s">
        <v>320</v>
      </c>
    </row>
    <row r="12" spans="2:15" x14ac:dyDescent="0.35">
      <c r="C12" t="s">
        <v>251</v>
      </c>
      <c r="D12" t="s">
        <v>252</v>
      </c>
      <c r="E12" t="s">
        <v>253</v>
      </c>
      <c r="F12" t="s">
        <v>254</v>
      </c>
      <c r="G12" t="s">
        <v>255</v>
      </c>
      <c r="H12" t="s">
        <v>256</v>
      </c>
      <c r="I12" t="s">
        <v>305</v>
      </c>
      <c r="J12" t="s">
        <v>258</v>
      </c>
      <c r="K12" t="s">
        <v>259</v>
      </c>
      <c r="L12" t="s">
        <v>260</v>
      </c>
      <c r="M12" t="s">
        <v>261</v>
      </c>
      <c r="N12" t="s">
        <v>262</v>
      </c>
      <c r="O12" t="s">
        <v>277</v>
      </c>
    </row>
    <row r="13" spans="2:15" x14ac:dyDescent="0.35">
      <c r="B13" t="s">
        <v>280</v>
      </c>
      <c r="C13">
        <v>89723</v>
      </c>
      <c r="D13">
        <v>86779</v>
      </c>
      <c r="E13">
        <v>90654</v>
      </c>
      <c r="F13">
        <v>84876</v>
      </c>
      <c r="G13">
        <v>90556</v>
      </c>
      <c r="H13">
        <v>87255</v>
      </c>
      <c r="I13">
        <v>84988</v>
      </c>
      <c r="J13">
        <v>97163</v>
      </c>
      <c r="K13">
        <v>80319</v>
      </c>
      <c r="L13">
        <v>84464</v>
      </c>
      <c r="M13">
        <v>88061</v>
      </c>
      <c r="N13">
        <v>85939</v>
      </c>
      <c r="O13">
        <v>85939</v>
      </c>
    </row>
    <row r="15" spans="2:15" x14ac:dyDescent="0.35">
      <c r="B15" t="s">
        <v>281</v>
      </c>
    </row>
    <row r="16" spans="2:15" x14ac:dyDescent="0.35">
      <c r="B16" t="s">
        <v>318</v>
      </c>
      <c r="C16">
        <v>86687</v>
      </c>
      <c r="D16">
        <v>86235</v>
      </c>
      <c r="E16">
        <v>93967</v>
      </c>
      <c r="F16">
        <v>96107</v>
      </c>
      <c r="G16">
        <v>81689</v>
      </c>
      <c r="H16">
        <v>86672</v>
      </c>
      <c r="I16">
        <v>83895</v>
      </c>
      <c r="J16">
        <v>91344</v>
      </c>
      <c r="K16">
        <v>91988</v>
      </c>
      <c r="L16">
        <v>92986</v>
      </c>
      <c r="M16">
        <v>90540</v>
      </c>
      <c r="N16">
        <v>91719</v>
      </c>
      <c r="O16">
        <v>91719</v>
      </c>
    </row>
    <row r="17" spans="2:15" x14ac:dyDescent="0.35">
      <c r="B17" t="s">
        <v>282</v>
      </c>
      <c r="C17">
        <v>81390</v>
      </c>
      <c r="D17">
        <v>85507</v>
      </c>
      <c r="E17">
        <v>85663</v>
      </c>
      <c r="F17">
        <v>80652</v>
      </c>
      <c r="G17">
        <v>93313</v>
      </c>
      <c r="H17">
        <v>88393</v>
      </c>
      <c r="I17">
        <v>80631</v>
      </c>
      <c r="J17">
        <v>92658</v>
      </c>
      <c r="K17">
        <v>92777</v>
      </c>
      <c r="L17">
        <v>86105</v>
      </c>
      <c r="M17">
        <v>88870</v>
      </c>
      <c r="N17">
        <v>92105</v>
      </c>
      <c r="O17">
        <v>92105</v>
      </c>
    </row>
    <row r="18" spans="2:15" x14ac:dyDescent="0.35">
      <c r="B18" t="s">
        <v>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E757-2F1D-4159-8B18-B85B678C776B}">
  <dimension ref="A2:F22"/>
  <sheetViews>
    <sheetView workbookViewId="0">
      <selection activeCell="C3" sqref="C3"/>
    </sheetView>
  </sheetViews>
  <sheetFormatPr defaultRowHeight="14.5" x14ac:dyDescent="0.35"/>
  <cols>
    <col min="1" max="1" width="15" bestFit="1" customWidth="1"/>
    <col min="2" max="2" width="8.36328125" bestFit="1" customWidth="1"/>
    <col min="3" max="3" width="14.90625" bestFit="1" customWidth="1"/>
    <col min="4" max="4" width="12.08984375" bestFit="1" customWidth="1"/>
    <col min="5" max="5" width="15" bestFit="1" customWidth="1"/>
    <col min="6" max="6" width="7.453125" bestFit="1" customWidth="1"/>
  </cols>
  <sheetData>
    <row r="2" spans="1:6" x14ac:dyDescent="0.35">
      <c r="B2" t="s">
        <v>277</v>
      </c>
    </row>
    <row r="3" spans="1:6" x14ac:dyDescent="0.35">
      <c r="A3" t="s">
        <v>274</v>
      </c>
      <c r="B3">
        <f>B4-B22</f>
        <v>9500</v>
      </c>
    </row>
    <row r="4" spans="1:6" x14ac:dyDescent="0.35">
      <c r="A4" t="s">
        <v>273</v>
      </c>
      <c r="B4">
        <f>B5-B16</f>
        <v>10000</v>
      </c>
    </row>
    <row r="5" spans="1:6" x14ac:dyDescent="0.35">
      <c r="A5" t="s">
        <v>270</v>
      </c>
      <c r="B5">
        <f>B6-B9</f>
        <v>20000</v>
      </c>
      <c r="E5" t="s">
        <v>279</v>
      </c>
      <c r="F5">
        <f>B3</f>
        <v>9500</v>
      </c>
    </row>
    <row r="6" spans="1:6" x14ac:dyDescent="0.35">
      <c r="A6" t="s">
        <v>264</v>
      </c>
      <c r="B6">
        <f>SUM(B7)</f>
        <v>100000</v>
      </c>
    </row>
    <row r="7" spans="1:6" x14ac:dyDescent="0.35">
      <c r="A7" s="1" t="s">
        <v>248</v>
      </c>
      <c r="B7">
        <v>100000</v>
      </c>
      <c r="E7" t="s">
        <v>280</v>
      </c>
      <c r="F7">
        <v>300000</v>
      </c>
    </row>
    <row r="9" spans="1:6" x14ac:dyDescent="0.35">
      <c r="A9" t="s">
        <v>249</v>
      </c>
      <c r="B9">
        <f>SUM(B10:B13)</f>
        <v>80000</v>
      </c>
      <c r="E9" t="s">
        <v>281</v>
      </c>
      <c r="F9">
        <v>200000</v>
      </c>
    </row>
    <row r="10" spans="1:6" x14ac:dyDescent="0.35">
      <c r="A10" t="s">
        <v>266</v>
      </c>
      <c r="B10">
        <v>40000</v>
      </c>
      <c r="E10" t="s">
        <v>282</v>
      </c>
      <c r="F10">
        <f>(F7-F9)-F5</f>
        <v>90500</v>
      </c>
    </row>
    <row r="11" spans="1:6" x14ac:dyDescent="0.35">
      <c r="A11" t="s">
        <v>267</v>
      </c>
      <c r="B11">
        <v>20000</v>
      </c>
      <c r="E11" t="s">
        <v>283</v>
      </c>
      <c r="F11">
        <f>F5</f>
        <v>9500</v>
      </c>
    </row>
    <row r="12" spans="1:6" x14ac:dyDescent="0.35">
      <c r="A12" t="s">
        <v>268</v>
      </c>
      <c r="B12">
        <v>10000</v>
      </c>
    </row>
    <row r="13" spans="1:6" x14ac:dyDescent="0.35">
      <c r="A13" t="s">
        <v>269</v>
      </c>
      <c r="B13">
        <v>10000</v>
      </c>
      <c r="E13" t="s">
        <v>284</v>
      </c>
      <c r="F13">
        <f>SUM(F9:F11)-F7</f>
        <v>0</v>
      </c>
    </row>
    <row r="16" spans="1:6" x14ac:dyDescent="0.35">
      <c r="A16" t="s">
        <v>271</v>
      </c>
      <c r="B16">
        <f>SUM(B17:B18)</f>
        <v>10000</v>
      </c>
    </row>
    <row r="17" spans="1:2" x14ac:dyDescent="0.35">
      <c r="A17" t="s">
        <v>250</v>
      </c>
      <c r="B17">
        <v>5000</v>
      </c>
    </row>
    <row r="18" spans="1:2" x14ac:dyDescent="0.35">
      <c r="A18" t="s">
        <v>272</v>
      </c>
      <c r="B18">
        <v>5000</v>
      </c>
    </row>
    <row r="21" spans="1:2" x14ac:dyDescent="0.35">
      <c r="A21" t="s">
        <v>275</v>
      </c>
    </row>
    <row r="22" spans="1:2" x14ac:dyDescent="0.35">
      <c r="A22" t="s">
        <v>276</v>
      </c>
      <c r="B22">
        <f>B4*5%</f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B961-CE96-4606-9FA0-8CFEE6EFA260}">
  <dimension ref="A1:O25"/>
  <sheetViews>
    <sheetView topLeftCell="A9" workbookViewId="0">
      <selection activeCell="E28" sqref="E28"/>
    </sheetView>
  </sheetViews>
  <sheetFormatPr defaultColWidth="9.08984375" defaultRowHeight="15.5" outlineLevelRow="1" x14ac:dyDescent="0.35"/>
  <cols>
    <col min="1" max="1" width="1.90625" style="5" customWidth="1"/>
    <col min="2" max="2" width="52.81640625" style="5" bestFit="1" customWidth="1"/>
    <col min="3" max="3" width="1.08984375" style="5" customWidth="1"/>
    <col min="4" max="4" width="1.54296875" style="10" customWidth="1"/>
    <col min="5" max="5" width="11.90625" style="5" bestFit="1" customWidth="1"/>
    <col min="6" max="9" width="9.36328125" style="5" bestFit="1" customWidth="1"/>
    <col min="10" max="16384" width="9.08984375" style="5"/>
  </cols>
  <sheetData>
    <row r="1" spans="1:15" x14ac:dyDescent="0.35">
      <c r="A1" s="2"/>
      <c r="B1" s="3"/>
      <c r="C1" s="2"/>
      <c r="D1" s="4"/>
      <c r="E1" s="41" t="s">
        <v>306</v>
      </c>
      <c r="F1" s="41"/>
      <c r="G1" s="41"/>
      <c r="H1" s="41"/>
      <c r="I1" s="41"/>
    </row>
    <row r="2" spans="1:15" ht="21" customHeight="1" x14ac:dyDescent="0.5">
      <c r="A2" s="2"/>
      <c r="B2" s="6" t="s">
        <v>319</v>
      </c>
      <c r="C2" s="7"/>
      <c r="D2" s="8"/>
      <c r="E2" s="9">
        <v>2018</v>
      </c>
      <c r="F2" s="9"/>
      <c r="G2" s="9"/>
      <c r="H2" s="9"/>
      <c r="I2" s="9"/>
    </row>
    <row r="3" spans="1:15" x14ac:dyDescent="0.35">
      <c r="E3" s="11" t="s">
        <v>251</v>
      </c>
      <c r="F3" s="11" t="s">
        <v>252</v>
      </c>
      <c r="G3" s="11" t="s">
        <v>253</v>
      </c>
      <c r="H3" s="11" t="s">
        <v>254</v>
      </c>
      <c r="I3" s="11" t="s">
        <v>255</v>
      </c>
      <c r="J3" s="11" t="s">
        <v>256</v>
      </c>
      <c r="K3" s="11" t="s">
        <v>305</v>
      </c>
      <c r="L3" s="11" t="s">
        <v>258</v>
      </c>
      <c r="M3" s="11" t="s">
        <v>259</v>
      </c>
      <c r="N3" s="11" t="s">
        <v>260</v>
      </c>
      <c r="O3" s="11" t="s">
        <v>261</v>
      </c>
    </row>
    <row r="4" spans="1:15" x14ac:dyDescent="0.35">
      <c r="J4" s="12"/>
      <c r="K4" s="12"/>
      <c r="L4" s="12"/>
      <c r="M4" s="12"/>
    </row>
    <row r="5" spans="1:15" ht="18.5" x14ac:dyDescent="0.35">
      <c r="B5" s="13" t="s">
        <v>307</v>
      </c>
      <c r="C5" s="13"/>
      <c r="D5" s="13"/>
      <c r="E5" s="13"/>
      <c r="F5" s="13"/>
      <c r="G5" s="13"/>
      <c r="H5" s="13"/>
      <c r="I5" s="13"/>
      <c r="J5" s="12"/>
      <c r="K5" s="12"/>
      <c r="L5" s="12"/>
      <c r="M5" s="12"/>
    </row>
    <row r="6" spans="1:15" outlineLevel="1" x14ac:dyDescent="0.35">
      <c r="B6" s="15" t="s">
        <v>308</v>
      </c>
      <c r="C6" s="14"/>
      <c r="D6" s="16"/>
      <c r="E6" s="14"/>
      <c r="F6" s="14"/>
      <c r="G6" s="14"/>
      <c r="H6" s="14"/>
      <c r="I6" s="14"/>
      <c r="J6" s="12"/>
      <c r="K6" s="12"/>
      <c r="L6" s="12"/>
      <c r="M6" s="12"/>
    </row>
    <row r="7" spans="1:15" outlineLevel="1" x14ac:dyDescent="0.35">
      <c r="E7" s="18"/>
      <c r="F7" s="18"/>
      <c r="G7" s="18"/>
      <c r="H7" s="18"/>
      <c r="I7" s="18"/>
      <c r="J7" s="12"/>
      <c r="K7" s="12"/>
      <c r="L7" s="12"/>
      <c r="M7" s="12"/>
    </row>
    <row r="8" spans="1:15" x14ac:dyDescent="0.35">
      <c r="E8" s="18"/>
      <c r="F8" s="18"/>
      <c r="G8" s="18"/>
      <c r="H8" s="18"/>
      <c r="I8" s="18"/>
      <c r="J8" s="12"/>
      <c r="K8" s="12"/>
      <c r="L8" s="12"/>
      <c r="M8" s="12"/>
    </row>
    <row r="9" spans="1:15" ht="18.5" x14ac:dyDescent="0.35">
      <c r="B9" s="13" t="s">
        <v>309</v>
      </c>
      <c r="C9" s="13"/>
      <c r="D9" s="13"/>
      <c r="E9" s="19"/>
      <c r="F9" s="19"/>
      <c r="G9" s="19"/>
      <c r="H9" s="19"/>
      <c r="I9" s="19"/>
      <c r="J9" s="12"/>
      <c r="K9" s="12"/>
      <c r="L9" s="12"/>
      <c r="M9" s="12"/>
    </row>
    <row r="10" spans="1:15" ht="16" outlineLevel="1" thickBot="1" x14ac:dyDescent="0.4">
      <c r="B10" s="28" t="s">
        <v>274</v>
      </c>
      <c r="C10" s="28"/>
      <c r="D10" s="28"/>
      <c r="E10" s="39" t="s">
        <v>326</v>
      </c>
      <c r="F10" s="28"/>
      <c r="G10" s="28"/>
      <c r="H10" s="28"/>
      <c r="I10" s="28"/>
      <c r="J10" s="12"/>
      <c r="K10" s="12"/>
      <c r="L10" s="12"/>
      <c r="M10" s="12"/>
    </row>
    <row r="11" spans="1:15" ht="16.5" outlineLevel="1" thickTop="1" thickBot="1" x14ac:dyDescent="0.4">
      <c r="B11" s="30" t="s">
        <v>273</v>
      </c>
      <c r="C11" s="30"/>
      <c r="D11" s="30"/>
      <c r="E11" s="38" t="s">
        <v>321</v>
      </c>
      <c r="F11" s="30"/>
      <c r="G11" s="30"/>
      <c r="H11" s="30"/>
      <c r="I11" s="30"/>
      <c r="J11" s="12"/>
      <c r="K11" s="12"/>
      <c r="L11" s="12"/>
      <c r="M11" s="12"/>
    </row>
    <row r="12" spans="1:15" ht="16" outlineLevel="1" thickTop="1" x14ac:dyDescent="0.35">
      <c r="B12" s="31" t="s">
        <v>270</v>
      </c>
      <c r="C12" s="20"/>
      <c r="D12" s="21"/>
      <c r="E12" s="22"/>
      <c r="F12" s="22"/>
      <c r="G12" s="22"/>
      <c r="H12" s="22"/>
      <c r="I12" s="22"/>
      <c r="J12" s="12"/>
      <c r="K12" s="12"/>
      <c r="L12" s="12"/>
      <c r="M12" s="12"/>
    </row>
    <row r="13" spans="1:15" outlineLevel="1" x14ac:dyDescent="0.35">
      <c r="B13" s="35" t="s">
        <v>264</v>
      </c>
      <c r="C13" s="23"/>
      <c r="D13" s="24"/>
      <c r="E13" s="25"/>
      <c r="F13" s="25"/>
      <c r="G13" s="25"/>
      <c r="H13" s="25"/>
      <c r="I13" s="25"/>
      <c r="J13" s="12"/>
      <c r="K13" s="12"/>
      <c r="L13" s="12"/>
      <c r="M13" s="12"/>
    </row>
    <row r="14" spans="1:15" outlineLevel="1" x14ac:dyDescent="0.35">
      <c r="B14" s="36" t="s">
        <v>248</v>
      </c>
      <c r="E14" s="26"/>
      <c r="F14" s="26"/>
      <c r="G14" s="26"/>
      <c r="H14" s="26"/>
      <c r="I14" s="26"/>
      <c r="J14" s="17"/>
      <c r="K14" s="12"/>
      <c r="L14" s="12"/>
      <c r="M14" s="12"/>
    </row>
    <row r="15" spans="1:15" outlineLevel="1" x14ac:dyDescent="0.35">
      <c r="B15" s="34" t="s">
        <v>249</v>
      </c>
      <c r="E15" s="27"/>
      <c r="F15" s="27"/>
      <c r="G15" s="27"/>
      <c r="H15" s="27"/>
      <c r="I15" s="27"/>
      <c r="J15" s="17"/>
      <c r="K15" s="12"/>
      <c r="L15" s="12"/>
      <c r="M15" s="12"/>
    </row>
    <row r="16" spans="1:15" outlineLevel="1" x14ac:dyDescent="0.35">
      <c r="B16" s="33" t="s">
        <v>266</v>
      </c>
      <c r="E16" s="26"/>
      <c r="F16" s="26"/>
      <c r="G16" s="26"/>
      <c r="H16" s="26"/>
      <c r="I16" s="26"/>
      <c r="J16" s="17"/>
      <c r="K16" s="12"/>
      <c r="L16" s="12"/>
      <c r="M16" s="12"/>
    </row>
    <row r="17" spans="2:13" outlineLevel="1" x14ac:dyDescent="0.35">
      <c r="B17" s="33" t="s">
        <v>315</v>
      </c>
      <c r="E17" s="26"/>
      <c r="F17" s="26"/>
      <c r="G17" s="26"/>
      <c r="H17" s="26"/>
      <c r="I17" s="26"/>
      <c r="J17" s="17"/>
      <c r="K17" s="12"/>
      <c r="L17" s="12"/>
      <c r="M17" s="12"/>
    </row>
    <row r="18" spans="2:13" outlineLevel="1" x14ac:dyDescent="0.35">
      <c r="B18" s="33" t="s">
        <v>313</v>
      </c>
      <c r="E18" s="26"/>
      <c r="F18" s="26"/>
      <c r="G18" s="26"/>
      <c r="H18" s="26"/>
      <c r="I18" s="26"/>
      <c r="J18" s="12"/>
      <c r="K18" s="12"/>
      <c r="L18" s="12"/>
      <c r="M18" s="12"/>
    </row>
    <row r="19" spans="2:13" outlineLevel="1" x14ac:dyDescent="0.35">
      <c r="B19" s="33" t="s">
        <v>314</v>
      </c>
      <c r="E19" s="26"/>
      <c r="F19" s="26"/>
      <c r="G19" s="26"/>
      <c r="H19" s="26"/>
      <c r="I19" s="26"/>
      <c r="J19" s="12"/>
      <c r="K19" s="12"/>
      <c r="L19" s="12"/>
      <c r="M19" s="12"/>
    </row>
    <row r="20" spans="2:13" outlineLevel="1" collapsed="1" x14ac:dyDescent="0.35">
      <c r="B20" s="34" t="s">
        <v>312</v>
      </c>
      <c r="E20" s="26"/>
      <c r="F20" s="26"/>
      <c r="G20" s="26"/>
      <c r="H20" s="26"/>
      <c r="I20" s="26"/>
      <c r="J20" s="12"/>
      <c r="K20" s="12"/>
      <c r="L20" s="12"/>
      <c r="M20" s="12"/>
    </row>
    <row r="21" spans="2:13" x14ac:dyDescent="0.35">
      <c r="B21" s="33" t="s">
        <v>311</v>
      </c>
      <c r="E21" s="26"/>
      <c r="F21" s="26"/>
      <c r="G21" s="26"/>
      <c r="H21" s="26"/>
      <c r="I21" s="26"/>
      <c r="J21" s="12"/>
      <c r="K21" s="12"/>
      <c r="L21" s="12"/>
      <c r="M21" s="12"/>
    </row>
    <row r="22" spans="2:13" x14ac:dyDescent="0.35">
      <c r="B22" s="33" t="s">
        <v>310</v>
      </c>
      <c r="E22" s="26"/>
      <c r="F22" s="26"/>
      <c r="G22" s="26"/>
      <c r="H22" s="26"/>
      <c r="I22" s="26"/>
      <c r="J22" s="12"/>
      <c r="K22" s="12"/>
      <c r="L22" s="12"/>
      <c r="M22" s="12"/>
    </row>
    <row r="23" spans="2:13" x14ac:dyDescent="0.35">
      <c r="B23" s="29" t="s">
        <v>322</v>
      </c>
    </row>
    <row r="24" spans="2:13" x14ac:dyDescent="0.35">
      <c r="B24" s="32" t="s">
        <v>324</v>
      </c>
      <c r="C24" s="5">
        <v>500</v>
      </c>
      <c r="E24" s="40" t="s">
        <v>325</v>
      </c>
    </row>
    <row r="25" spans="2:13" x14ac:dyDescent="0.35">
      <c r="B25" s="32" t="s">
        <v>323</v>
      </c>
    </row>
  </sheetData>
  <mergeCells count="1">
    <mergeCell ref="E1:I1"/>
  </mergeCells>
  <conditionalFormatting sqref="E3:O3">
    <cfRule type="containsText" dxfId="1" priority="1" operator="containsText" text="OK">
      <formula>NOT(ISERROR(SEARCH("OK",E3)))</formula>
    </cfRule>
    <cfRule type="containsText" dxfId="0" priority="2" operator="containsText" text="ERROR">
      <formula>NOT(ISERROR(SEARCH("ERROR",E3)))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49F7-0C66-40A7-A8AA-8B3F38BDBB37}">
  <dimension ref="A1:Q61"/>
  <sheetViews>
    <sheetView workbookViewId="0">
      <selection activeCell="B1" sqref="B1"/>
    </sheetView>
  </sheetViews>
  <sheetFormatPr defaultRowHeight="14.5" x14ac:dyDescent="0.35"/>
  <cols>
    <col min="1" max="1" width="7.26953125" bestFit="1" customWidth="1"/>
    <col min="2" max="2" width="7.81640625" bestFit="1" customWidth="1"/>
    <col min="3" max="3" width="8.90625" bestFit="1" customWidth="1"/>
    <col min="4" max="4" width="4.7265625" bestFit="1" customWidth="1"/>
    <col min="5" max="5" width="15" bestFit="1" customWidth="1"/>
    <col min="6" max="6" width="7.90625" bestFit="1" customWidth="1"/>
    <col min="7" max="17" width="6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251</v>
      </c>
      <c r="G1" t="s">
        <v>252</v>
      </c>
      <c r="H1" t="s">
        <v>253</v>
      </c>
      <c r="I1" t="s">
        <v>254</v>
      </c>
      <c r="J1" t="s">
        <v>255</v>
      </c>
      <c r="K1" t="s">
        <v>256</v>
      </c>
      <c r="L1" t="s">
        <v>257</v>
      </c>
      <c r="M1" t="s">
        <v>258</v>
      </c>
      <c r="N1" t="s">
        <v>259</v>
      </c>
      <c r="O1" t="s">
        <v>260</v>
      </c>
      <c r="P1" t="s">
        <v>261</v>
      </c>
      <c r="Q1" t="s">
        <v>262</v>
      </c>
    </row>
    <row r="2" spans="1:17" x14ac:dyDescent="0.35">
      <c r="A2">
        <v>28</v>
      </c>
      <c r="B2">
        <v>1</v>
      </c>
      <c r="C2" t="s">
        <v>247</v>
      </c>
      <c r="D2" t="s">
        <v>246</v>
      </c>
      <c r="E2" t="s">
        <v>278</v>
      </c>
      <c r="F2">
        <v>10000</v>
      </c>
      <c r="G2">
        <v>10000</v>
      </c>
      <c r="H2">
        <v>10000</v>
      </c>
      <c r="I2">
        <v>10000</v>
      </c>
      <c r="J2">
        <v>10000</v>
      </c>
      <c r="K2">
        <v>10000</v>
      </c>
      <c r="L2">
        <v>10000</v>
      </c>
      <c r="M2">
        <v>10000</v>
      </c>
      <c r="N2">
        <v>10000</v>
      </c>
      <c r="O2">
        <v>10000</v>
      </c>
      <c r="P2">
        <v>10000</v>
      </c>
      <c r="Q2">
        <v>10000</v>
      </c>
    </row>
    <row r="3" spans="1:17" x14ac:dyDescent="0.35">
      <c r="A3">
        <v>28</v>
      </c>
      <c r="B3">
        <v>1</v>
      </c>
      <c r="C3" t="s">
        <v>247</v>
      </c>
      <c r="D3" t="s">
        <v>246</v>
      </c>
      <c r="E3" t="s">
        <v>266</v>
      </c>
      <c r="F3">
        <v>60000</v>
      </c>
      <c r="G3">
        <v>60000</v>
      </c>
      <c r="H3">
        <v>60000</v>
      </c>
      <c r="I3">
        <v>60000</v>
      </c>
      <c r="J3">
        <v>60000</v>
      </c>
      <c r="K3">
        <v>60000</v>
      </c>
      <c r="L3">
        <v>60000</v>
      </c>
      <c r="M3">
        <v>60000</v>
      </c>
      <c r="N3">
        <v>60000</v>
      </c>
      <c r="O3">
        <v>60000</v>
      </c>
      <c r="P3">
        <v>60000</v>
      </c>
      <c r="Q3">
        <v>60000</v>
      </c>
    </row>
    <row r="4" spans="1:17" x14ac:dyDescent="0.35">
      <c r="A4">
        <v>28</v>
      </c>
      <c r="B4">
        <v>1</v>
      </c>
      <c r="C4" t="s">
        <v>247</v>
      </c>
      <c r="D4" t="s">
        <v>246</v>
      </c>
      <c r="E4" t="s">
        <v>267</v>
      </c>
      <c r="F4">
        <v>20000</v>
      </c>
      <c r="G4">
        <v>20000</v>
      </c>
      <c r="H4">
        <v>20000</v>
      </c>
      <c r="I4">
        <v>20000</v>
      </c>
      <c r="J4">
        <v>20000</v>
      </c>
      <c r="K4">
        <v>20000</v>
      </c>
      <c r="L4">
        <v>20000</v>
      </c>
      <c r="M4">
        <v>20000</v>
      </c>
      <c r="N4">
        <v>20000</v>
      </c>
      <c r="O4">
        <v>20000</v>
      </c>
      <c r="P4">
        <v>20000</v>
      </c>
      <c r="Q4">
        <v>20000</v>
      </c>
    </row>
    <row r="5" spans="1:17" x14ac:dyDescent="0.35">
      <c r="A5">
        <v>28</v>
      </c>
      <c r="B5">
        <v>1</v>
      </c>
      <c r="C5" t="s">
        <v>247</v>
      </c>
      <c r="D5" t="s">
        <v>246</v>
      </c>
      <c r="E5" t="s">
        <v>268</v>
      </c>
      <c r="F5">
        <v>10000</v>
      </c>
      <c r="G5">
        <v>10000</v>
      </c>
      <c r="H5">
        <v>10000</v>
      </c>
      <c r="I5">
        <v>10000</v>
      </c>
      <c r="J5">
        <v>10000</v>
      </c>
      <c r="K5">
        <v>10000</v>
      </c>
      <c r="L5">
        <v>10000</v>
      </c>
      <c r="M5">
        <v>10000</v>
      </c>
      <c r="N5">
        <v>10000</v>
      </c>
      <c r="O5">
        <v>10000</v>
      </c>
      <c r="P5">
        <v>10000</v>
      </c>
      <c r="Q5">
        <v>10000</v>
      </c>
    </row>
    <row r="6" spans="1:17" x14ac:dyDescent="0.35">
      <c r="A6">
        <v>28</v>
      </c>
      <c r="B6">
        <v>1</v>
      </c>
      <c r="C6" t="s">
        <v>247</v>
      </c>
      <c r="D6" t="s">
        <v>246</v>
      </c>
      <c r="E6" t="s">
        <v>265</v>
      </c>
      <c r="F6">
        <v>2614</v>
      </c>
      <c r="G6">
        <v>1411</v>
      </c>
      <c r="H6">
        <v>165</v>
      </c>
      <c r="I6">
        <v>261</v>
      </c>
      <c r="J6">
        <v>1239</v>
      </c>
      <c r="K6">
        <v>1810</v>
      </c>
      <c r="L6">
        <v>2630</v>
      </c>
      <c r="M6">
        <v>637</v>
      </c>
      <c r="N6">
        <v>2535</v>
      </c>
      <c r="O6">
        <v>1184</v>
      </c>
      <c r="P6">
        <v>2769</v>
      </c>
      <c r="Q6">
        <v>2829</v>
      </c>
    </row>
    <row r="7" spans="1:17" x14ac:dyDescent="0.35">
      <c r="A7">
        <v>55</v>
      </c>
      <c r="B7">
        <v>1</v>
      </c>
      <c r="C7" t="s">
        <v>263</v>
      </c>
      <c r="D7" t="s">
        <v>246</v>
      </c>
      <c r="E7" t="s">
        <v>278</v>
      </c>
      <c r="F7">
        <v>15000</v>
      </c>
      <c r="G7">
        <v>15000</v>
      </c>
      <c r="H7">
        <v>15000</v>
      </c>
      <c r="I7">
        <v>15000</v>
      </c>
      <c r="J7">
        <v>15000</v>
      </c>
      <c r="K7">
        <v>15000</v>
      </c>
      <c r="L7">
        <v>15000</v>
      </c>
      <c r="M7">
        <v>15000</v>
      </c>
      <c r="N7">
        <v>15000</v>
      </c>
      <c r="O7">
        <v>15000</v>
      </c>
      <c r="P7">
        <v>15000</v>
      </c>
      <c r="Q7">
        <v>15000</v>
      </c>
    </row>
    <row r="8" spans="1:17" x14ac:dyDescent="0.35">
      <c r="A8">
        <v>55</v>
      </c>
      <c r="B8">
        <v>1</v>
      </c>
      <c r="C8" t="s">
        <v>263</v>
      </c>
      <c r="D8" t="s">
        <v>246</v>
      </c>
      <c r="E8" t="s">
        <v>266</v>
      </c>
      <c r="F8">
        <v>70000</v>
      </c>
      <c r="G8">
        <v>70000</v>
      </c>
      <c r="H8">
        <v>70000</v>
      </c>
      <c r="I8">
        <v>70000</v>
      </c>
      <c r="J8">
        <v>70000</v>
      </c>
      <c r="K8">
        <v>70000</v>
      </c>
      <c r="L8">
        <v>70000</v>
      </c>
      <c r="M8">
        <v>70000</v>
      </c>
      <c r="N8">
        <v>70000</v>
      </c>
      <c r="O8">
        <v>70000</v>
      </c>
      <c r="P8">
        <v>70000</v>
      </c>
      <c r="Q8">
        <v>70000</v>
      </c>
    </row>
    <row r="9" spans="1:17" x14ac:dyDescent="0.35">
      <c r="A9">
        <v>55</v>
      </c>
      <c r="B9">
        <v>1</v>
      </c>
      <c r="C9" t="s">
        <v>263</v>
      </c>
      <c r="D9" t="s">
        <v>246</v>
      </c>
      <c r="E9" t="s">
        <v>267</v>
      </c>
      <c r="F9">
        <v>10000</v>
      </c>
      <c r="G9">
        <v>10000</v>
      </c>
      <c r="H9">
        <v>10000</v>
      </c>
      <c r="I9">
        <v>10000</v>
      </c>
      <c r="J9">
        <v>10000</v>
      </c>
      <c r="K9">
        <v>10000</v>
      </c>
      <c r="L9">
        <v>10000</v>
      </c>
      <c r="M9">
        <v>10000</v>
      </c>
      <c r="N9">
        <v>10000</v>
      </c>
      <c r="O9">
        <v>10000</v>
      </c>
      <c r="P9">
        <v>10000</v>
      </c>
      <c r="Q9">
        <v>10000</v>
      </c>
    </row>
    <row r="10" spans="1:17" x14ac:dyDescent="0.35">
      <c r="A10">
        <v>55</v>
      </c>
      <c r="B10">
        <v>1</v>
      </c>
      <c r="C10" t="s">
        <v>263</v>
      </c>
      <c r="D10" t="s">
        <v>246</v>
      </c>
      <c r="E10" t="s">
        <v>268</v>
      </c>
      <c r="F10">
        <v>9500</v>
      </c>
      <c r="G10">
        <v>9500</v>
      </c>
      <c r="H10">
        <v>9500</v>
      </c>
      <c r="I10">
        <v>9500</v>
      </c>
      <c r="J10">
        <v>9500</v>
      </c>
      <c r="K10">
        <v>9500</v>
      </c>
      <c r="L10">
        <v>9500</v>
      </c>
      <c r="M10">
        <v>9500</v>
      </c>
      <c r="N10">
        <v>9500</v>
      </c>
      <c r="O10">
        <v>9500</v>
      </c>
      <c r="P10">
        <v>9500</v>
      </c>
      <c r="Q10">
        <v>9500</v>
      </c>
    </row>
    <row r="11" spans="1:17" x14ac:dyDescent="0.35">
      <c r="A11">
        <v>55</v>
      </c>
      <c r="B11">
        <v>1</v>
      </c>
      <c r="C11" t="s">
        <v>263</v>
      </c>
      <c r="D11" t="s">
        <v>246</v>
      </c>
      <c r="E11" t="s">
        <v>265</v>
      </c>
      <c r="F11">
        <v>3897</v>
      </c>
      <c r="G11">
        <v>3674</v>
      </c>
      <c r="H11">
        <v>2707</v>
      </c>
      <c r="I11">
        <v>3579</v>
      </c>
      <c r="J11">
        <v>3643</v>
      </c>
      <c r="K11">
        <v>2963</v>
      </c>
      <c r="L11">
        <v>3537</v>
      </c>
      <c r="M11">
        <v>3205</v>
      </c>
      <c r="N11">
        <v>3917</v>
      </c>
      <c r="O11">
        <v>2949</v>
      </c>
      <c r="P11">
        <v>2040</v>
      </c>
      <c r="Q11">
        <v>3102</v>
      </c>
    </row>
    <row r="12" spans="1:17" x14ac:dyDescent="0.35">
      <c r="A12">
        <v>83</v>
      </c>
      <c r="B12">
        <v>2</v>
      </c>
      <c r="C12" t="s">
        <v>287</v>
      </c>
      <c r="D12" t="s">
        <v>246</v>
      </c>
      <c r="E12" t="s">
        <v>278</v>
      </c>
      <c r="F12">
        <v>10000</v>
      </c>
      <c r="G12">
        <v>10000</v>
      </c>
      <c r="H12">
        <v>10000</v>
      </c>
      <c r="I12">
        <v>10000</v>
      </c>
      <c r="J12">
        <v>10000</v>
      </c>
      <c r="K12">
        <v>10000</v>
      </c>
      <c r="L12">
        <v>10000</v>
      </c>
      <c r="M12">
        <v>10000</v>
      </c>
      <c r="N12">
        <v>10000</v>
      </c>
      <c r="O12">
        <v>10000</v>
      </c>
      <c r="P12">
        <v>10000</v>
      </c>
      <c r="Q12">
        <v>10000</v>
      </c>
    </row>
    <row r="13" spans="1:17" x14ac:dyDescent="0.35">
      <c r="A13">
        <v>83</v>
      </c>
      <c r="B13">
        <v>2</v>
      </c>
      <c r="C13" t="s">
        <v>287</v>
      </c>
      <c r="D13" t="s">
        <v>246</v>
      </c>
      <c r="E13" t="s">
        <v>266</v>
      </c>
      <c r="F13">
        <v>70000</v>
      </c>
      <c r="G13">
        <v>70000</v>
      </c>
      <c r="H13">
        <v>70000</v>
      </c>
      <c r="I13">
        <v>70000</v>
      </c>
      <c r="J13">
        <v>70000</v>
      </c>
      <c r="K13">
        <v>70000</v>
      </c>
      <c r="L13">
        <v>70000</v>
      </c>
      <c r="M13">
        <v>70000</v>
      </c>
      <c r="N13">
        <v>70000</v>
      </c>
      <c r="O13">
        <v>70000</v>
      </c>
      <c r="P13">
        <v>70000</v>
      </c>
      <c r="Q13">
        <v>70000</v>
      </c>
    </row>
    <row r="14" spans="1:17" x14ac:dyDescent="0.35">
      <c r="A14">
        <v>83</v>
      </c>
      <c r="B14">
        <v>2</v>
      </c>
      <c r="C14" t="s">
        <v>287</v>
      </c>
      <c r="D14" t="s">
        <v>246</v>
      </c>
      <c r="E14" t="s">
        <v>267</v>
      </c>
      <c r="F14">
        <v>10000</v>
      </c>
      <c r="G14">
        <v>10000</v>
      </c>
      <c r="H14">
        <v>10000</v>
      </c>
      <c r="I14">
        <v>10000</v>
      </c>
      <c r="J14">
        <v>10000</v>
      </c>
      <c r="K14">
        <v>10000</v>
      </c>
      <c r="L14">
        <v>10000</v>
      </c>
      <c r="M14">
        <v>10000</v>
      </c>
      <c r="N14">
        <v>10000</v>
      </c>
      <c r="O14">
        <v>10000</v>
      </c>
      <c r="P14">
        <v>10000</v>
      </c>
      <c r="Q14">
        <v>10000</v>
      </c>
    </row>
    <row r="15" spans="1:17" x14ac:dyDescent="0.35">
      <c r="A15">
        <v>83</v>
      </c>
      <c r="B15">
        <v>2</v>
      </c>
      <c r="C15" t="s">
        <v>287</v>
      </c>
      <c r="D15" t="s">
        <v>246</v>
      </c>
      <c r="E15" t="s">
        <v>268</v>
      </c>
      <c r="F15">
        <v>5500</v>
      </c>
      <c r="G15">
        <v>5500</v>
      </c>
      <c r="H15">
        <v>5500</v>
      </c>
      <c r="I15">
        <v>5500</v>
      </c>
      <c r="J15">
        <v>5500</v>
      </c>
      <c r="K15">
        <v>5500</v>
      </c>
      <c r="L15">
        <v>5500</v>
      </c>
      <c r="M15">
        <v>5500</v>
      </c>
      <c r="N15">
        <v>5500</v>
      </c>
      <c r="O15">
        <v>5500</v>
      </c>
      <c r="P15">
        <v>5500</v>
      </c>
      <c r="Q15">
        <v>5500</v>
      </c>
    </row>
    <row r="16" spans="1:17" x14ac:dyDescent="0.35">
      <c r="A16">
        <v>83</v>
      </c>
      <c r="B16">
        <v>2</v>
      </c>
      <c r="C16" t="s">
        <v>287</v>
      </c>
      <c r="D16" t="s">
        <v>246</v>
      </c>
      <c r="E16" t="s">
        <v>265</v>
      </c>
      <c r="F16">
        <v>3684</v>
      </c>
      <c r="G16">
        <v>3610</v>
      </c>
      <c r="H16">
        <v>2389</v>
      </c>
      <c r="I16">
        <v>3615</v>
      </c>
      <c r="J16">
        <v>3393</v>
      </c>
      <c r="K16">
        <v>2294</v>
      </c>
      <c r="L16">
        <v>3661</v>
      </c>
      <c r="M16">
        <v>2966</v>
      </c>
      <c r="N16">
        <v>2632</v>
      </c>
      <c r="O16">
        <v>2426</v>
      </c>
      <c r="P16">
        <v>2472</v>
      </c>
      <c r="Q16">
        <v>3361</v>
      </c>
    </row>
    <row r="17" spans="1:17" x14ac:dyDescent="0.35">
      <c r="A17">
        <v>96</v>
      </c>
      <c r="B17">
        <v>3</v>
      </c>
      <c r="C17" t="s">
        <v>288</v>
      </c>
      <c r="D17" t="s">
        <v>246</v>
      </c>
      <c r="E17" t="s">
        <v>278</v>
      </c>
      <c r="F17">
        <v>20000</v>
      </c>
      <c r="G17">
        <v>20000</v>
      </c>
      <c r="H17">
        <v>20000</v>
      </c>
      <c r="I17">
        <v>20000</v>
      </c>
      <c r="J17">
        <v>20000</v>
      </c>
      <c r="K17">
        <v>20000</v>
      </c>
      <c r="L17">
        <v>20000</v>
      </c>
      <c r="M17">
        <v>20000</v>
      </c>
      <c r="N17">
        <v>20000</v>
      </c>
      <c r="O17">
        <v>20000</v>
      </c>
      <c r="P17">
        <v>20000</v>
      </c>
      <c r="Q17">
        <v>20000</v>
      </c>
    </row>
    <row r="18" spans="1:17" x14ac:dyDescent="0.35">
      <c r="A18">
        <v>96</v>
      </c>
      <c r="B18">
        <v>3</v>
      </c>
      <c r="C18" t="s">
        <v>288</v>
      </c>
      <c r="D18" t="s">
        <v>246</v>
      </c>
      <c r="E18" t="s">
        <v>266</v>
      </c>
      <c r="F18">
        <v>70000</v>
      </c>
      <c r="G18">
        <v>70000</v>
      </c>
      <c r="H18">
        <v>70000</v>
      </c>
      <c r="I18">
        <v>70000</v>
      </c>
      <c r="J18">
        <v>70000</v>
      </c>
      <c r="K18">
        <v>70000</v>
      </c>
      <c r="L18">
        <v>70000</v>
      </c>
      <c r="M18">
        <v>70000</v>
      </c>
      <c r="N18">
        <v>70000</v>
      </c>
      <c r="O18">
        <v>70000</v>
      </c>
      <c r="P18">
        <v>70000</v>
      </c>
      <c r="Q18">
        <v>70000</v>
      </c>
    </row>
    <row r="19" spans="1:17" x14ac:dyDescent="0.35">
      <c r="A19">
        <v>96</v>
      </c>
      <c r="B19">
        <v>3</v>
      </c>
      <c r="C19" t="s">
        <v>288</v>
      </c>
      <c r="D19" t="s">
        <v>246</v>
      </c>
      <c r="E19" t="s">
        <v>267</v>
      </c>
      <c r="F19">
        <v>10000</v>
      </c>
      <c r="G19">
        <v>10000</v>
      </c>
      <c r="H19">
        <v>10000</v>
      </c>
      <c r="I19">
        <v>10000</v>
      </c>
      <c r="J19">
        <v>10000</v>
      </c>
      <c r="K19">
        <v>10000</v>
      </c>
      <c r="L19">
        <v>10000</v>
      </c>
      <c r="M19">
        <v>10000</v>
      </c>
      <c r="N19">
        <v>10000</v>
      </c>
      <c r="O19">
        <v>10000</v>
      </c>
      <c r="P19">
        <v>10000</v>
      </c>
      <c r="Q19">
        <v>10000</v>
      </c>
    </row>
    <row r="20" spans="1:17" x14ac:dyDescent="0.35">
      <c r="A20">
        <v>96</v>
      </c>
      <c r="B20">
        <v>3</v>
      </c>
      <c r="C20" t="s">
        <v>288</v>
      </c>
      <c r="D20" t="s">
        <v>246</v>
      </c>
      <c r="E20" t="s">
        <v>268</v>
      </c>
      <c r="F20">
        <v>5500</v>
      </c>
      <c r="G20">
        <v>5500</v>
      </c>
      <c r="H20">
        <v>5500</v>
      </c>
      <c r="I20">
        <v>5500</v>
      </c>
      <c r="J20">
        <v>5500</v>
      </c>
      <c r="K20">
        <v>5500</v>
      </c>
      <c r="L20">
        <v>5500</v>
      </c>
      <c r="M20">
        <v>5500</v>
      </c>
      <c r="N20">
        <v>5500</v>
      </c>
      <c r="O20">
        <v>5500</v>
      </c>
      <c r="P20">
        <v>5500</v>
      </c>
      <c r="Q20">
        <v>5500</v>
      </c>
    </row>
    <row r="21" spans="1:17" x14ac:dyDescent="0.35">
      <c r="A21">
        <v>96</v>
      </c>
      <c r="B21">
        <v>3</v>
      </c>
      <c r="C21" t="s">
        <v>288</v>
      </c>
      <c r="D21" t="s">
        <v>246</v>
      </c>
      <c r="E21" t="s">
        <v>265</v>
      </c>
      <c r="F21">
        <v>3684</v>
      </c>
      <c r="G21">
        <v>3610</v>
      </c>
      <c r="H21">
        <v>2389</v>
      </c>
      <c r="I21">
        <v>3615</v>
      </c>
      <c r="J21">
        <v>3393</v>
      </c>
      <c r="K21">
        <v>2294</v>
      </c>
      <c r="L21">
        <v>3661</v>
      </c>
      <c r="M21">
        <v>2966</v>
      </c>
      <c r="N21">
        <v>2632</v>
      </c>
      <c r="O21">
        <v>2426</v>
      </c>
      <c r="P21">
        <v>2472</v>
      </c>
      <c r="Q21">
        <v>3361</v>
      </c>
    </row>
    <row r="22" spans="1:17" x14ac:dyDescent="0.35">
      <c r="A22">
        <v>49</v>
      </c>
      <c r="B22">
        <v>3</v>
      </c>
      <c r="C22" t="s">
        <v>289</v>
      </c>
      <c r="D22" t="s">
        <v>246</v>
      </c>
      <c r="E22" t="s">
        <v>278</v>
      </c>
      <c r="F22">
        <v>10000</v>
      </c>
      <c r="G22">
        <v>10000</v>
      </c>
      <c r="H22">
        <v>10000</v>
      </c>
      <c r="I22">
        <v>10000</v>
      </c>
      <c r="J22">
        <v>10000</v>
      </c>
      <c r="K22">
        <v>10000</v>
      </c>
      <c r="L22">
        <v>10000</v>
      </c>
      <c r="M22">
        <v>10000</v>
      </c>
      <c r="N22">
        <v>10000</v>
      </c>
      <c r="O22">
        <v>10000</v>
      </c>
      <c r="P22">
        <v>10000</v>
      </c>
      <c r="Q22">
        <v>10000</v>
      </c>
    </row>
    <row r="23" spans="1:17" x14ac:dyDescent="0.35">
      <c r="A23">
        <v>49</v>
      </c>
      <c r="B23">
        <v>3</v>
      </c>
      <c r="C23" t="s">
        <v>289</v>
      </c>
      <c r="D23" t="s">
        <v>246</v>
      </c>
      <c r="E23" t="s">
        <v>266</v>
      </c>
      <c r="F23">
        <v>60000</v>
      </c>
      <c r="G23">
        <v>60000</v>
      </c>
      <c r="H23">
        <v>60000</v>
      </c>
      <c r="I23">
        <v>60000</v>
      </c>
      <c r="J23">
        <v>60000</v>
      </c>
      <c r="K23">
        <v>60000</v>
      </c>
      <c r="L23">
        <v>60000</v>
      </c>
      <c r="M23">
        <v>60000</v>
      </c>
      <c r="N23">
        <v>60000</v>
      </c>
      <c r="O23">
        <v>60000</v>
      </c>
      <c r="P23">
        <v>60000</v>
      </c>
      <c r="Q23">
        <v>60000</v>
      </c>
    </row>
    <row r="24" spans="1:17" x14ac:dyDescent="0.35">
      <c r="A24">
        <v>49</v>
      </c>
      <c r="B24">
        <v>3</v>
      </c>
      <c r="C24" t="s">
        <v>289</v>
      </c>
      <c r="D24" t="s">
        <v>246</v>
      </c>
      <c r="E24" t="s">
        <v>267</v>
      </c>
      <c r="F24">
        <v>20000</v>
      </c>
      <c r="G24">
        <v>20000</v>
      </c>
      <c r="H24">
        <v>20000</v>
      </c>
      <c r="I24">
        <v>20000</v>
      </c>
      <c r="J24">
        <v>20000</v>
      </c>
      <c r="K24">
        <v>20000</v>
      </c>
      <c r="L24">
        <v>20000</v>
      </c>
      <c r="M24">
        <v>20000</v>
      </c>
      <c r="N24">
        <v>20000</v>
      </c>
      <c r="O24">
        <v>20000</v>
      </c>
      <c r="P24">
        <v>20000</v>
      </c>
      <c r="Q24">
        <v>20000</v>
      </c>
    </row>
    <row r="25" spans="1:17" x14ac:dyDescent="0.35">
      <c r="A25">
        <v>49</v>
      </c>
      <c r="B25">
        <v>3</v>
      </c>
      <c r="C25" t="s">
        <v>289</v>
      </c>
      <c r="D25" t="s">
        <v>246</v>
      </c>
      <c r="E25" t="s">
        <v>268</v>
      </c>
      <c r="F25">
        <v>10000</v>
      </c>
      <c r="G25">
        <v>10000</v>
      </c>
      <c r="H25">
        <v>10000</v>
      </c>
      <c r="I25">
        <v>10000</v>
      </c>
      <c r="J25">
        <v>10000</v>
      </c>
      <c r="K25">
        <v>10000</v>
      </c>
      <c r="L25">
        <v>10000</v>
      </c>
      <c r="M25">
        <v>10000</v>
      </c>
      <c r="N25">
        <v>10000</v>
      </c>
      <c r="O25">
        <v>10000</v>
      </c>
      <c r="P25">
        <v>10000</v>
      </c>
      <c r="Q25">
        <v>10000</v>
      </c>
    </row>
    <row r="26" spans="1:17" x14ac:dyDescent="0.35">
      <c r="A26">
        <v>49</v>
      </c>
      <c r="B26">
        <v>3</v>
      </c>
      <c r="C26" t="s">
        <v>289</v>
      </c>
      <c r="D26" t="s">
        <v>246</v>
      </c>
      <c r="E26" t="s">
        <v>265</v>
      </c>
      <c r="F26">
        <v>2614</v>
      </c>
      <c r="G26">
        <v>1411</v>
      </c>
      <c r="H26">
        <v>165</v>
      </c>
      <c r="I26">
        <v>261</v>
      </c>
      <c r="J26">
        <v>1239</v>
      </c>
      <c r="K26">
        <v>1810</v>
      </c>
      <c r="L26">
        <v>2630</v>
      </c>
      <c r="M26">
        <v>637</v>
      </c>
      <c r="N26">
        <v>2535</v>
      </c>
      <c r="O26">
        <v>1184</v>
      </c>
      <c r="P26">
        <v>2769</v>
      </c>
      <c r="Q26">
        <v>2829</v>
      </c>
    </row>
    <row r="27" spans="1:17" x14ac:dyDescent="0.35">
      <c r="A27">
        <v>70</v>
      </c>
      <c r="B27">
        <v>4</v>
      </c>
      <c r="C27" t="s">
        <v>289</v>
      </c>
      <c r="D27" t="s">
        <v>246</v>
      </c>
      <c r="E27" t="s">
        <v>278</v>
      </c>
      <c r="F27">
        <v>20100</v>
      </c>
      <c r="G27">
        <v>20100</v>
      </c>
      <c r="H27">
        <v>20100</v>
      </c>
      <c r="I27">
        <v>20100</v>
      </c>
      <c r="J27">
        <v>20100</v>
      </c>
      <c r="K27">
        <v>20100</v>
      </c>
      <c r="L27">
        <v>20100</v>
      </c>
      <c r="M27">
        <v>20100</v>
      </c>
      <c r="N27">
        <v>20100</v>
      </c>
      <c r="O27">
        <v>20100</v>
      </c>
      <c r="P27">
        <v>20100</v>
      </c>
      <c r="Q27">
        <v>20100</v>
      </c>
    </row>
    <row r="28" spans="1:17" x14ac:dyDescent="0.35">
      <c r="A28">
        <v>70</v>
      </c>
      <c r="B28">
        <v>4</v>
      </c>
      <c r="C28" t="s">
        <v>289</v>
      </c>
      <c r="D28" t="s">
        <v>246</v>
      </c>
      <c r="E28" t="s">
        <v>266</v>
      </c>
      <c r="F28">
        <v>71000</v>
      </c>
      <c r="G28">
        <v>71000</v>
      </c>
      <c r="H28">
        <v>71000</v>
      </c>
      <c r="I28">
        <v>71000</v>
      </c>
      <c r="J28">
        <v>71000</v>
      </c>
      <c r="K28">
        <v>71000</v>
      </c>
      <c r="L28">
        <v>71000</v>
      </c>
      <c r="M28">
        <v>71000</v>
      </c>
      <c r="N28">
        <v>71000</v>
      </c>
      <c r="O28">
        <v>71000</v>
      </c>
      <c r="P28">
        <v>71000</v>
      </c>
      <c r="Q28">
        <v>71000</v>
      </c>
    </row>
    <row r="29" spans="1:17" x14ac:dyDescent="0.35">
      <c r="A29">
        <v>70</v>
      </c>
      <c r="B29">
        <v>4</v>
      </c>
      <c r="C29" t="s">
        <v>289</v>
      </c>
      <c r="D29" t="s">
        <v>246</v>
      </c>
      <c r="E29" t="s">
        <v>267</v>
      </c>
      <c r="F29">
        <v>11000</v>
      </c>
      <c r="G29">
        <v>11000</v>
      </c>
      <c r="H29">
        <v>11000</v>
      </c>
      <c r="I29">
        <v>11000</v>
      </c>
      <c r="J29">
        <v>11000</v>
      </c>
      <c r="K29">
        <v>11000</v>
      </c>
      <c r="L29">
        <v>11000</v>
      </c>
      <c r="M29">
        <v>11000</v>
      </c>
      <c r="N29">
        <v>11000</v>
      </c>
      <c r="O29">
        <v>11000</v>
      </c>
      <c r="P29">
        <v>11000</v>
      </c>
      <c r="Q29">
        <v>11000</v>
      </c>
    </row>
    <row r="30" spans="1:17" x14ac:dyDescent="0.35">
      <c r="A30">
        <v>70</v>
      </c>
      <c r="B30">
        <v>4</v>
      </c>
      <c r="C30" t="s">
        <v>289</v>
      </c>
      <c r="D30" t="s">
        <v>246</v>
      </c>
      <c r="E30" t="s">
        <v>268</v>
      </c>
      <c r="F30">
        <v>6500</v>
      </c>
      <c r="G30">
        <v>6500</v>
      </c>
      <c r="H30">
        <v>6500</v>
      </c>
      <c r="I30">
        <v>6500</v>
      </c>
      <c r="J30">
        <v>6500</v>
      </c>
      <c r="K30">
        <v>6500</v>
      </c>
      <c r="L30">
        <v>6500</v>
      </c>
      <c r="M30">
        <v>6500</v>
      </c>
      <c r="N30">
        <v>6500</v>
      </c>
      <c r="O30">
        <v>6500</v>
      </c>
      <c r="P30">
        <v>6500</v>
      </c>
      <c r="Q30">
        <v>6500</v>
      </c>
    </row>
    <row r="31" spans="1:17" x14ac:dyDescent="0.35">
      <c r="A31">
        <v>70</v>
      </c>
      <c r="B31">
        <v>4</v>
      </c>
      <c r="C31" t="s">
        <v>289</v>
      </c>
      <c r="D31" t="s">
        <v>246</v>
      </c>
      <c r="E31" t="s">
        <v>265</v>
      </c>
      <c r="F31">
        <v>4684</v>
      </c>
      <c r="G31">
        <v>4610</v>
      </c>
      <c r="H31">
        <v>3389</v>
      </c>
      <c r="I31">
        <v>4615</v>
      </c>
      <c r="J31">
        <v>4393</v>
      </c>
      <c r="K31">
        <v>3294</v>
      </c>
      <c r="L31">
        <v>4661</v>
      </c>
      <c r="M31">
        <v>3966</v>
      </c>
      <c r="N31">
        <v>3632</v>
      </c>
      <c r="O31">
        <v>3426</v>
      </c>
      <c r="P31">
        <v>3472</v>
      </c>
      <c r="Q31">
        <v>4361</v>
      </c>
    </row>
    <row r="32" spans="1:17" x14ac:dyDescent="0.35">
      <c r="A32">
        <v>1</v>
      </c>
      <c r="B32">
        <v>5</v>
      </c>
      <c r="C32" t="s">
        <v>290</v>
      </c>
      <c r="D32" t="s">
        <v>246</v>
      </c>
      <c r="E32" t="s">
        <v>278</v>
      </c>
      <c r="F32">
        <v>10500</v>
      </c>
      <c r="G32">
        <v>10500</v>
      </c>
      <c r="H32">
        <v>10500</v>
      </c>
      <c r="I32">
        <v>10500</v>
      </c>
      <c r="J32">
        <v>10500</v>
      </c>
      <c r="K32">
        <v>10500</v>
      </c>
      <c r="L32">
        <v>10500</v>
      </c>
      <c r="M32">
        <v>10500</v>
      </c>
      <c r="N32">
        <v>10500</v>
      </c>
      <c r="O32">
        <v>10500</v>
      </c>
      <c r="P32">
        <v>10500</v>
      </c>
      <c r="Q32">
        <v>10500</v>
      </c>
    </row>
    <row r="33" spans="1:17" x14ac:dyDescent="0.35">
      <c r="A33">
        <v>1</v>
      </c>
      <c r="B33">
        <v>5</v>
      </c>
      <c r="C33" t="s">
        <v>290</v>
      </c>
      <c r="D33" t="s">
        <v>246</v>
      </c>
      <c r="E33" t="s">
        <v>266</v>
      </c>
      <c r="F33">
        <v>63000</v>
      </c>
      <c r="G33">
        <v>63000</v>
      </c>
      <c r="H33">
        <v>63000</v>
      </c>
      <c r="I33">
        <v>63000</v>
      </c>
      <c r="J33">
        <v>63000</v>
      </c>
      <c r="K33">
        <v>63000</v>
      </c>
      <c r="L33">
        <v>63000</v>
      </c>
      <c r="M33">
        <v>63000</v>
      </c>
      <c r="N33">
        <v>63000</v>
      </c>
      <c r="O33">
        <v>63000</v>
      </c>
      <c r="P33">
        <v>63000</v>
      </c>
      <c r="Q33">
        <v>63000</v>
      </c>
    </row>
    <row r="34" spans="1:17" x14ac:dyDescent="0.35">
      <c r="A34">
        <v>1</v>
      </c>
      <c r="B34">
        <v>5</v>
      </c>
      <c r="C34" t="s">
        <v>290</v>
      </c>
      <c r="D34" t="s">
        <v>246</v>
      </c>
      <c r="E34" t="s">
        <v>267</v>
      </c>
      <c r="F34">
        <v>21000</v>
      </c>
      <c r="G34">
        <v>21000</v>
      </c>
      <c r="H34">
        <v>21000</v>
      </c>
      <c r="I34">
        <v>21000</v>
      </c>
      <c r="J34">
        <v>21000</v>
      </c>
      <c r="K34">
        <v>21000</v>
      </c>
      <c r="L34">
        <v>21000</v>
      </c>
      <c r="M34">
        <v>21000</v>
      </c>
      <c r="N34">
        <v>21000</v>
      </c>
      <c r="O34">
        <v>21000</v>
      </c>
      <c r="P34">
        <v>21000</v>
      </c>
      <c r="Q34">
        <v>21000</v>
      </c>
    </row>
    <row r="35" spans="1:17" x14ac:dyDescent="0.35">
      <c r="A35">
        <v>1</v>
      </c>
      <c r="B35">
        <v>5</v>
      </c>
      <c r="C35" t="s">
        <v>290</v>
      </c>
      <c r="D35" t="s">
        <v>246</v>
      </c>
      <c r="E35" t="s">
        <v>268</v>
      </c>
      <c r="F35">
        <v>10500</v>
      </c>
      <c r="G35">
        <v>10500</v>
      </c>
      <c r="H35">
        <v>10500</v>
      </c>
      <c r="I35">
        <v>10500</v>
      </c>
      <c r="J35">
        <v>10500</v>
      </c>
      <c r="K35">
        <v>10500</v>
      </c>
      <c r="L35">
        <v>10500</v>
      </c>
      <c r="M35">
        <v>10500</v>
      </c>
      <c r="N35">
        <v>10500</v>
      </c>
      <c r="O35">
        <v>10500</v>
      </c>
      <c r="P35">
        <v>10500</v>
      </c>
      <c r="Q35">
        <v>10500</v>
      </c>
    </row>
    <row r="36" spans="1:17" x14ac:dyDescent="0.35">
      <c r="A36">
        <v>1</v>
      </c>
      <c r="B36">
        <v>5</v>
      </c>
      <c r="C36" t="s">
        <v>290</v>
      </c>
      <c r="D36" t="s">
        <v>246</v>
      </c>
      <c r="E36" t="s">
        <v>265</v>
      </c>
      <c r="F36">
        <v>2744.7000000000003</v>
      </c>
      <c r="G36">
        <v>1481.55</v>
      </c>
      <c r="H36">
        <v>173.25</v>
      </c>
      <c r="I36">
        <v>274.05</v>
      </c>
      <c r="J36">
        <v>1300.95</v>
      </c>
      <c r="K36">
        <v>1900.5</v>
      </c>
      <c r="L36">
        <v>2761.5</v>
      </c>
      <c r="M36">
        <v>668.85</v>
      </c>
      <c r="N36">
        <v>2661.75</v>
      </c>
      <c r="O36">
        <v>1243.2</v>
      </c>
      <c r="P36">
        <v>2907.4500000000003</v>
      </c>
      <c r="Q36">
        <v>2970.4500000000003</v>
      </c>
    </row>
    <row r="37" spans="1:17" x14ac:dyDescent="0.35">
      <c r="A37">
        <v>12</v>
      </c>
      <c r="B37">
        <v>6</v>
      </c>
      <c r="C37" t="s">
        <v>291</v>
      </c>
      <c r="D37" t="s">
        <v>246</v>
      </c>
      <c r="E37" t="s">
        <v>278</v>
      </c>
      <c r="F37">
        <v>16500</v>
      </c>
      <c r="G37">
        <v>16500</v>
      </c>
      <c r="H37">
        <v>16500</v>
      </c>
      <c r="I37">
        <v>16500</v>
      </c>
      <c r="J37">
        <v>16500</v>
      </c>
      <c r="K37">
        <v>16500</v>
      </c>
      <c r="L37">
        <v>16500</v>
      </c>
      <c r="M37">
        <v>16500</v>
      </c>
      <c r="N37">
        <v>16500</v>
      </c>
      <c r="O37">
        <v>16500</v>
      </c>
      <c r="P37">
        <v>16500</v>
      </c>
      <c r="Q37">
        <v>16500</v>
      </c>
    </row>
    <row r="38" spans="1:17" x14ac:dyDescent="0.35">
      <c r="A38">
        <v>12</v>
      </c>
      <c r="B38">
        <v>6</v>
      </c>
      <c r="C38" t="s">
        <v>291</v>
      </c>
      <c r="D38" t="s">
        <v>246</v>
      </c>
      <c r="E38" t="s">
        <v>266</v>
      </c>
      <c r="F38">
        <v>77000</v>
      </c>
      <c r="G38">
        <v>77000</v>
      </c>
      <c r="H38">
        <v>77000</v>
      </c>
      <c r="I38">
        <v>77000</v>
      </c>
      <c r="J38">
        <v>77000</v>
      </c>
      <c r="K38">
        <v>77000</v>
      </c>
      <c r="L38">
        <v>77000</v>
      </c>
      <c r="M38">
        <v>77000</v>
      </c>
      <c r="N38">
        <v>77000</v>
      </c>
      <c r="O38">
        <v>77000</v>
      </c>
      <c r="P38">
        <v>77000</v>
      </c>
      <c r="Q38">
        <v>77000</v>
      </c>
    </row>
    <row r="39" spans="1:17" x14ac:dyDescent="0.35">
      <c r="A39">
        <v>12</v>
      </c>
      <c r="B39">
        <v>6</v>
      </c>
      <c r="C39" t="s">
        <v>291</v>
      </c>
      <c r="D39" t="s">
        <v>246</v>
      </c>
      <c r="E39" t="s">
        <v>267</v>
      </c>
      <c r="F39">
        <v>11000</v>
      </c>
      <c r="G39">
        <v>11000</v>
      </c>
      <c r="H39">
        <v>11000</v>
      </c>
      <c r="I39">
        <v>11000</v>
      </c>
      <c r="J39">
        <v>11000</v>
      </c>
      <c r="K39">
        <v>11000</v>
      </c>
      <c r="L39">
        <v>11000</v>
      </c>
      <c r="M39">
        <v>11000</v>
      </c>
      <c r="N39">
        <v>11000</v>
      </c>
      <c r="O39">
        <v>11000</v>
      </c>
      <c r="P39">
        <v>11000</v>
      </c>
      <c r="Q39">
        <v>11000</v>
      </c>
    </row>
    <row r="40" spans="1:17" x14ac:dyDescent="0.35">
      <c r="A40">
        <v>12</v>
      </c>
      <c r="B40">
        <v>6</v>
      </c>
      <c r="C40" t="s">
        <v>291</v>
      </c>
      <c r="D40" t="s">
        <v>246</v>
      </c>
      <c r="E40" t="s">
        <v>268</v>
      </c>
      <c r="F40">
        <v>10450</v>
      </c>
      <c r="G40">
        <v>10450</v>
      </c>
      <c r="H40">
        <v>10450</v>
      </c>
      <c r="I40">
        <v>10450</v>
      </c>
      <c r="J40">
        <v>10450</v>
      </c>
      <c r="K40">
        <v>10450</v>
      </c>
      <c r="L40">
        <v>10450</v>
      </c>
      <c r="M40">
        <v>10450</v>
      </c>
      <c r="N40">
        <v>10450</v>
      </c>
      <c r="O40">
        <v>10450</v>
      </c>
      <c r="P40">
        <v>10450</v>
      </c>
      <c r="Q40">
        <v>10450</v>
      </c>
    </row>
    <row r="41" spans="1:17" x14ac:dyDescent="0.35">
      <c r="A41">
        <v>12</v>
      </c>
      <c r="B41">
        <v>6</v>
      </c>
      <c r="C41" t="s">
        <v>291</v>
      </c>
      <c r="D41" t="s">
        <v>246</v>
      </c>
      <c r="E41" t="s">
        <v>265</v>
      </c>
      <c r="F41">
        <v>4286.7000000000007</v>
      </c>
      <c r="G41">
        <v>4041.4000000000005</v>
      </c>
      <c r="H41">
        <v>2977.7000000000003</v>
      </c>
      <c r="I41">
        <v>3936.9</v>
      </c>
      <c r="J41">
        <v>4007.3</v>
      </c>
      <c r="K41">
        <v>3259.3</v>
      </c>
      <c r="L41">
        <v>3890.7000000000003</v>
      </c>
      <c r="M41">
        <v>3525.5000000000005</v>
      </c>
      <c r="N41">
        <v>4308.7000000000007</v>
      </c>
      <c r="O41">
        <v>3243.9</v>
      </c>
      <c r="P41">
        <v>2244</v>
      </c>
      <c r="Q41">
        <v>3412.2000000000003</v>
      </c>
    </row>
    <row r="42" spans="1:17" x14ac:dyDescent="0.35">
      <c r="A42">
        <v>104</v>
      </c>
      <c r="B42">
        <v>7</v>
      </c>
      <c r="C42" t="s">
        <v>298</v>
      </c>
      <c r="D42" t="s">
        <v>246</v>
      </c>
      <c r="E42" t="s">
        <v>278</v>
      </c>
      <c r="F42">
        <v>11299.999999999998</v>
      </c>
      <c r="G42">
        <v>11299.999999999998</v>
      </c>
      <c r="H42">
        <v>11299.999999999998</v>
      </c>
      <c r="I42">
        <v>11299.999999999998</v>
      </c>
      <c r="J42">
        <v>11299.999999999998</v>
      </c>
      <c r="K42">
        <v>11299.999999999998</v>
      </c>
      <c r="L42">
        <v>11299.999999999998</v>
      </c>
      <c r="M42">
        <v>11299.999999999998</v>
      </c>
      <c r="N42">
        <v>11299.999999999998</v>
      </c>
      <c r="O42">
        <v>11299.999999999998</v>
      </c>
      <c r="P42">
        <v>11299.999999999998</v>
      </c>
      <c r="Q42">
        <v>11299.999999999998</v>
      </c>
    </row>
    <row r="43" spans="1:17" x14ac:dyDescent="0.35">
      <c r="A43">
        <v>104</v>
      </c>
      <c r="B43">
        <v>7</v>
      </c>
      <c r="C43" t="s">
        <v>298</v>
      </c>
      <c r="D43" t="s">
        <v>246</v>
      </c>
      <c r="E43" t="s">
        <v>266</v>
      </c>
      <c r="F43">
        <v>79099.999999999985</v>
      </c>
      <c r="G43">
        <v>79099.999999999985</v>
      </c>
      <c r="H43">
        <v>79099.999999999985</v>
      </c>
      <c r="I43">
        <v>79099.999999999985</v>
      </c>
      <c r="J43">
        <v>79099.999999999985</v>
      </c>
      <c r="K43">
        <v>79099.999999999985</v>
      </c>
      <c r="L43">
        <v>79099.999999999985</v>
      </c>
      <c r="M43">
        <v>79099.999999999985</v>
      </c>
      <c r="N43">
        <v>79099.999999999985</v>
      </c>
      <c r="O43">
        <v>79099.999999999985</v>
      </c>
      <c r="P43">
        <v>79099.999999999985</v>
      </c>
      <c r="Q43">
        <v>79099.999999999985</v>
      </c>
    </row>
    <row r="44" spans="1:17" x14ac:dyDescent="0.35">
      <c r="A44">
        <v>104</v>
      </c>
      <c r="B44">
        <v>7</v>
      </c>
      <c r="C44" t="s">
        <v>298</v>
      </c>
      <c r="D44" t="s">
        <v>246</v>
      </c>
      <c r="E44" t="s">
        <v>267</v>
      </c>
      <c r="F44">
        <v>11299.999999999998</v>
      </c>
      <c r="G44">
        <v>11299.999999999998</v>
      </c>
      <c r="H44">
        <v>11299.999999999998</v>
      </c>
      <c r="I44">
        <v>11299.999999999998</v>
      </c>
      <c r="J44">
        <v>11299.999999999998</v>
      </c>
      <c r="K44">
        <v>11299.999999999998</v>
      </c>
      <c r="L44">
        <v>11299.999999999998</v>
      </c>
      <c r="M44">
        <v>11299.999999999998</v>
      </c>
      <c r="N44">
        <v>11299.999999999998</v>
      </c>
      <c r="O44">
        <v>11299.999999999998</v>
      </c>
      <c r="P44">
        <v>11299.999999999998</v>
      </c>
      <c r="Q44">
        <v>11299.999999999998</v>
      </c>
    </row>
    <row r="45" spans="1:17" x14ac:dyDescent="0.35">
      <c r="A45">
        <v>104</v>
      </c>
      <c r="B45">
        <v>7</v>
      </c>
      <c r="C45" t="s">
        <v>298</v>
      </c>
      <c r="D45" t="s">
        <v>246</v>
      </c>
      <c r="E45" t="s">
        <v>268</v>
      </c>
      <c r="F45">
        <v>6214.9999999999991</v>
      </c>
      <c r="G45">
        <v>6214.9999999999991</v>
      </c>
      <c r="H45">
        <v>6214.9999999999991</v>
      </c>
      <c r="I45">
        <v>6214.9999999999991</v>
      </c>
      <c r="J45">
        <v>6214.9999999999991</v>
      </c>
      <c r="K45">
        <v>6214.9999999999991</v>
      </c>
      <c r="L45">
        <v>6214.9999999999991</v>
      </c>
      <c r="M45">
        <v>6214.9999999999991</v>
      </c>
      <c r="N45">
        <v>6214.9999999999991</v>
      </c>
      <c r="O45">
        <v>6214.9999999999991</v>
      </c>
      <c r="P45">
        <v>6214.9999999999991</v>
      </c>
      <c r="Q45">
        <v>6214.9999999999991</v>
      </c>
    </row>
    <row r="46" spans="1:17" x14ac:dyDescent="0.35">
      <c r="A46">
        <v>104</v>
      </c>
      <c r="B46">
        <v>7</v>
      </c>
      <c r="C46" t="s">
        <v>298</v>
      </c>
      <c r="D46" t="s">
        <v>246</v>
      </c>
      <c r="E46" t="s">
        <v>265</v>
      </c>
      <c r="F46">
        <v>4162.9199999999992</v>
      </c>
      <c r="G46">
        <v>4079.2999999999997</v>
      </c>
      <c r="H46">
        <v>2699.5699999999997</v>
      </c>
      <c r="I46">
        <v>4084.95</v>
      </c>
      <c r="J46">
        <v>3834.0899999999997</v>
      </c>
      <c r="K46">
        <v>2592.2199999999998</v>
      </c>
      <c r="L46">
        <v>4136.9299999999994</v>
      </c>
      <c r="M46">
        <v>3351.5799999999995</v>
      </c>
      <c r="N46">
        <v>2974.16</v>
      </c>
      <c r="O46">
        <v>2741.3799999999997</v>
      </c>
      <c r="P46">
        <v>2793.3599999999997</v>
      </c>
      <c r="Q46">
        <v>3797.93</v>
      </c>
    </row>
    <row r="47" spans="1:17" x14ac:dyDescent="0.35">
      <c r="A47">
        <v>5</v>
      </c>
      <c r="B47">
        <v>2</v>
      </c>
      <c r="C47" t="s">
        <v>299</v>
      </c>
      <c r="D47" t="s">
        <v>246</v>
      </c>
      <c r="E47" t="s">
        <v>278</v>
      </c>
      <c r="F47">
        <v>10847.999999999998</v>
      </c>
      <c r="G47">
        <v>10847.999999999998</v>
      </c>
      <c r="H47">
        <v>10847.999999999998</v>
      </c>
      <c r="I47">
        <v>10847.999999999998</v>
      </c>
      <c r="J47">
        <v>10847.999999999998</v>
      </c>
      <c r="K47">
        <v>10847.999999999998</v>
      </c>
      <c r="L47">
        <v>10847.999999999998</v>
      </c>
      <c r="M47">
        <v>10847.999999999998</v>
      </c>
      <c r="N47">
        <v>10847.999999999998</v>
      </c>
      <c r="O47">
        <v>10847.999999999998</v>
      </c>
      <c r="P47">
        <v>10847.999999999998</v>
      </c>
      <c r="Q47">
        <v>10847.999999999998</v>
      </c>
    </row>
    <row r="48" spans="1:17" x14ac:dyDescent="0.35">
      <c r="A48">
        <v>5</v>
      </c>
      <c r="B48">
        <v>2</v>
      </c>
      <c r="C48" t="s">
        <v>299</v>
      </c>
      <c r="D48" t="s">
        <v>246</v>
      </c>
      <c r="E48" t="s">
        <v>266</v>
      </c>
      <c r="F48">
        <v>75935.999999999985</v>
      </c>
      <c r="G48">
        <v>75935.999999999985</v>
      </c>
      <c r="H48">
        <v>75935.999999999985</v>
      </c>
      <c r="I48">
        <v>75935.999999999985</v>
      </c>
      <c r="J48">
        <v>75935.999999999985</v>
      </c>
      <c r="K48">
        <v>75935.999999999985</v>
      </c>
      <c r="L48">
        <v>75935.999999999985</v>
      </c>
      <c r="M48">
        <v>75935.999999999985</v>
      </c>
      <c r="N48">
        <v>75935.999999999985</v>
      </c>
      <c r="O48">
        <v>75935.999999999985</v>
      </c>
      <c r="P48">
        <v>75935.999999999985</v>
      </c>
      <c r="Q48">
        <v>75935.999999999985</v>
      </c>
    </row>
    <row r="49" spans="1:17" x14ac:dyDescent="0.35">
      <c r="A49">
        <v>5</v>
      </c>
      <c r="B49">
        <v>2</v>
      </c>
      <c r="C49" t="s">
        <v>299</v>
      </c>
      <c r="D49" t="s">
        <v>246</v>
      </c>
      <c r="E49" t="s">
        <v>267</v>
      </c>
      <c r="F49">
        <v>10847.999999999998</v>
      </c>
      <c r="G49">
        <v>10847.999999999998</v>
      </c>
      <c r="H49">
        <v>10847.999999999998</v>
      </c>
      <c r="I49">
        <v>10847.999999999998</v>
      </c>
      <c r="J49">
        <v>10847.999999999998</v>
      </c>
      <c r="K49">
        <v>10847.999999999998</v>
      </c>
      <c r="L49">
        <v>10847.999999999998</v>
      </c>
      <c r="M49">
        <v>10847.999999999998</v>
      </c>
      <c r="N49">
        <v>10847.999999999998</v>
      </c>
      <c r="O49">
        <v>10847.999999999998</v>
      </c>
      <c r="P49">
        <v>10847.999999999998</v>
      </c>
      <c r="Q49">
        <v>10847.999999999998</v>
      </c>
    </row>
    <row r="50" spans="1:17" x14ac:dyDescent="0.35">
      <c r="A50">
        <v>5</v>
      </c>
      <c r="B50">
        <v>2</v>
      </c>
      <c r="C50" t="s">
        <v>299</v>
      </c>
      <c r="D50" t="s">
        <v>246</v>
      </c>
      <c r="E50" t="s">
        <v>268</v>
      </c>
      <c r="F50">
        <v>5966.3999999999987</v>
      </c>
      <c r="G50">
        <v>5966.3999999999987</v>
      </c>
      <c r="H50">
        <v>5966.3999999999987</v>
      </c>
      <c r="I50">
        <v>5966.3999999999987</v>
      </c>
      <c r="J50">
        <v>5966.3999999999987</v>
      </c>
      <c r="K50">
        <v>5966.3999999999987</v>
      </c>
      <c r="L50">
        <v>5966.3999999999987</v>
      </c>
      <c r="M50">
        <v>5966.3999999999987</v>
      </c>
      <c r="N50">
        <v>5966.3999999999987</v>
      </c>
      <c r="O50">
        <v>5966.3999999999987</v>
      </c>
      <c r="P50">
        <v>5966.3999999999987</v>
      </c>
      <c r="Q50">
        <v>5966.3999999999987</v>
      </c>
    </row>
    <row r="51" spans="1:17" x14ac:dyDescent="0.35">
      <c r="A51">
        <v>5</v>
      </c>
      <c r="B51">
        <v>2</v>
      </c>
      <c r="C51" t="s">
        <v>299</v>
      </c>
      <c r="D51" t="s">
        <v>246</v>
      </c>
      <c r="E51" t="s">
        <v>265</v>
      </c>
      <c r="F51">
        <v>3996.4031999999988</v>
      </c>
      <c r="G51">
        <v>3916.1279999999997</v>
      </c>
      <c r="H51">
        <v>2591.5871999999995</v>
      </c>
      <c r="I51">
        <v>3921.5519999999997</v>
      </c>
      <c r="J51">
        <v>3680.7263999999996</v>
      </c>
      <c r="K51">
        <v>2488.5311999999999</v>
      </c>
      <c r="L51">
        <v>3971.4527999999991</v>
      </c>
      <c r="M51">
        <v>3217.5167999999994</v>
      </c>
      <c r="N51">
        <v>2855.1935999999996</v>
      </c>
      <c r="O51">
        <v>2631.7247999999995</v>
      </c>
      <c r="P51">
        <v>2681.6255999999994</v>
      </c>
      <c r="Q51">
        <v>3646.0127999999995</v>
      </c>
    </row>
    <row r="52" spans="1:17" x14ac:dyDescent="0.35">
      <c r="A52">
        <v>14</v>
      </c>
      <c r="B52">
        <v>5</v>
      </c>
      <c r="C52" t="s">
        <v>303</v>
      </c>
      <c r="D52" t="s">
        <v>246</v>
      </c>
      <c r="E52" t="s">
        <v>278</v>
      </c>
      <c r="F52">
        <f>F47*70%</f>
        <v>7593.5999999999985</v>
      </c>
      <c r="G52">
        <f t="shared" ref="G52:Q52" si="0">G47*70%</f>
        <v>7593.5999999999985</v>
      </c>
      <c r="H52">
        <f t="shared" si="0"/>
        <v>7593.5999999999985</v>
      </c>
      <c r="I52">
        <f t="shared" si="0"/>
        <v>7593.5999999999985</v>
      </c>
      <c r="J52">
        <f t="shared" si="0"/>
        <v>7593.5999999999985</v>
      </c>
      <c r="K52">
        <f t="shared" si="0"/>
        <v>7593.5999999999985</v>
      </c>
      <c r="L52">
        <f t="shared" si="0"/>
        <v>7593.5999999999985</v>
      </c>
      <c r="M52">
        <f t="shared" si="0"/>
        <v>7593.5999999999985</v>
      </c>
      <c r="N52">
        <f t="shared" si="0"/>
        <v>7593.5999999999985</v>
      </c>
      <c r="O52">
        <f t="shared" si="0"/>
        <v>7593.5999999999985</v>
      </c>
      <c r="P52">
        <f t="shared" si="0"/>
        <v>7593.5999999999985</v>
      </c>
      <c r="Q52">
        <f t="shared" si="0"/>
        <v>7593.5999999999985</v>
      </c>
    </row>
    <row r="53" spans="1:17" x14ac:dyDescent="0.35">
      <c r="A53">
        <v>14</v>
      </c>
      <c r="B53">
        <v>5</v>
      </c>
      <c r="C53" t="s">
        <v>303</v>
      </c>
      <c r="D53" t="s">
        <v>246</v>
      </c>
      <c r="E53" t="s">
        <v>266</v>
      </c>
      <c r="F53">
        <f t="shared" ref="F53:Q53" si="1">F48*70%</f>
        <v>53155.19999999999</v>
      </c>
      <c r="G53">
        <f t="shared" si="1"/>
        <v>53155.19999999999</v>
      </c>
      <c r="H53">
        <f t="shared" si="1"/>
        <v>53155.19999999999</v>
      </c>
      <c r="I53">
        <f t="shared" si="1"/>
        <v>53155.19999999999</v>
      </c>
      <c r="J53">
        <f t="shared" si="1"/>
        <v>53155.19999999999</v>
      </c>
      <c r="K53">
        <f t="shared" si="1"/>
        <v>53155.19999999999</v>
      </c>
      <c r="L53">
        <f t="shared" si="1"/>
        <v>53155.19999999999</v>
      </c>
      <c r="M53">
        <f t="shared" si="1"/>
        <v>53155.19999999999</v>
      </c>
      <c r="N53">
        <f t="shared" si="1"/>
        <v>53155.19999999999</v>
      </c>
      <c r="O53">
        <f t="shared" si="1"/>
        <v>53155.19999999999</v>
      </c>
      <c r="P53">
        <f t="shared" si="1"/>
        <v>53155.19999999999</v>
      </c>
      <c r="Q53">
        <f t="shared" si="1"/>
        <v>53155.19999999999</v>
      </c>
    </row>
    <row r="54" spans="1:17" x14ac:dyDescent="0.35">
      <c r="A54">
        <v>14</v>
      </c>
      <c r="B54">
        <v>5</v>
      </c>
      <c r="C54" t="s">
        <v>303</v>
      </c>
      <c r="D54" t="s">
        <v>246</v>
      </c>
      <c r="E54" t="s">
        <v>267</v>
      </c>
      <c r="F54">
        <f t="shared" ref="F54:Q54" si="2">F49*70%</f>
        <v>7593.5999999999985</v>
      </c>
      <c r="G54">
        <f t="shared" si="2"/>
        <v>7593.5999999999985</v>
      </c>
      <c r="H54">
        <f t="shared" si="2"/>
        <v>7593.5999999999985</v>
      </c>
      <c r="I54">
        <f t="shared" si="2"/>
        <v>7593.5999999999985</v>
      </c>
      <c r="J54">
        <f t="shared" si="2"/>
        <v>7593.5999999999985</v>
      </c>
      <c r="K54">
        <f t="shared" si="2"/>
        <v>7593.5999999999985</v>
      </c>
      <c r="L54">
        <f t="shared" si="2"/>
        <v>7593.5999999999985</v>
      </c>
      <c r="M54">
        <f t="shared" si="2"/>
        <v>7593.5999999999985</v>
      </c>
      <c r="N54">
        <f t="shared" si="2"/>
        <v>7593.5999999999985</v>
      </c>
      <c r="O54">
        <f t="shared" si="2"/>
        <v>7593.5999999999985</v>
      </c>
      <c r="P54">
        <f t="shared" si="2"/>
        <v>7593.5999999999985</v>
      </c>
      <c r="Q54">
        <f t="shared" si="2"/>
        <v>7593.5999999999985</v>
      </c>
    </row>
    <row r="55" spans="1:17" x14ac:dyDescent="0.35">
      <c r="A55">
        <v>14</v>
      </c>
      <c r="B55">
        <v>5</v>
      </c>
      <c r="C55" t="s">
        <v>303</v>
      </c>
      <c r="D55" t="s">
        <v>246</v>
      </c>
      <c r="E55" t="s">
        <v>268</v>
      </c>
      <c r="F55">
        <f t="shared" ref="F55:Q55" si="3">F50*70%</f>
        <v>4176.4799999999987</v>
      </c>
      <c r="G55">
        <f t="shared" si="3"/>
        <v>4176.4799999999987</v>
      </c>
      <c r="H55">
        <f t="shared" si="3"/>
        <v>4176.4799999999987</v>
      </c>
      <c r="I55">
        <f t="shared" si="3"/>
        <v>4176.4799999999987</v>
      </c>
      <c r="J55">
        <f t="shared" si="3"/>
        <v>4176.4799999999987</v>
      </c>
      <c r="K55">
        <f t="shared" si="3"/>
        <v>4176.4799999999987</v>
      </c>
      <c r="L55">
        <f t="shared" si="3"/>
        <v>4176.4799999999987</v>
      </c>
      <c r="M55">
        <f t="shared" si="3"/>
        <v>4176.4799999999987</v>
      </c>
      <c r="N55">
        <f t="shared" si="3"/>
        <v>4176.4799999999987</v>
      </c>
      <c r="O55">
        <f t="shared" si="3"/>
        <v>4176.4799999999987</v>
      </c>
      <c r="P55">
        <f t="shared" si="3"/>
        <v>4176.4799999999987</v>
      </c>
      <c r="Q55">
        <f t="shared" si="3"/>
        <v>4176.4799999999987</v>
      </c>
    </row>
    <row r="56" spans="1:17" x14ac:dyDescent="0.35">
      <c r="A56">
        <v>14</v>
      </c>
      <c r="B56">
        <v>5</v>
      </c>
      <c r="C56" t="s">
        <v>303</v>
      </c>
      <c r="D56" t="s">
        <v>246</v>
      </c>
      <c r="E56" t="s">
        <v>265</v>
      </c>
      <c r="F56">
        <f t="shared" ref="F56:Q56" si="4">F51*70%</f>
        <v>2797.4822399999989</v>
      </c>
      <c r="G56">
        <f t="shared" si="4"/>
        <v>2741.2895999999996</v>
      </c>
      <c r="H56">
        <f t="shared" si="4"/>
        <v>1814.1110399999995</v>
      </c>
      <c r="I56">
        <f t="shared" si="4"/>
        <v>2745.0863999999997</v>
      </c>
      <c r="J56">
        <f t="shared" si="4"/>
        <v>2576.5084799999995</v>
      </c>
      <c r="K56">
        <f t="shared" si="4"/>
        <v>1741.9718399999999</v>
      </c>
      <c r="L56">
        <f t="shared" si="4"/>
        <v>2780.016959999999</v>
      </c>
      <c r="M56">
        <f t="shared" si="4"/>
        <v>2252.2617599999994</v>
      </c>
      <c r="N56">
        <f t="shared" si="4"/>
        <v>1998.6355199999996</v>
      </c>
      <c r="O56">
        <f t="shared" si="4"/>
        <v>1842.2073599999994</v>
      </c>
      <c r="P56">
        <f t="shared" si="4"/>
        <v>1877.1379199999994</v>
      </c>
      <c r="Q56">
        <f t="shared" si="4"/>
        <v>2552.2089599999995</v>
      </c>
    </row>
    <row r="57" spans="1:17" x14ac:dyDescent="0.35">
      <c r="A57">
        <v>91</v>
      </c>
      <c r="B57">
        <v>1</v>
      </c>
      <c r="C57" t="s">
        <v>304</v>
      </c>
      <c r="D57" t="s">
        <v>246</v>
      </c>
      <c r="E57" t="s">
        <v>278</v>
      </c>
      <c r="F57">
        <v>8352.9599999999991</v>
      </c>
      <c r="G57">
        <v>8352.9599999999991</v>
      </c>
      <c r="H57">
        <v>8352.9599999999991</v>
      </c>
      <c r="I57">
        <v>8352.9599999999991</v>
      </c>
      <c r="J57">
        <v>8352.9599999999991</v>
      </c>
      <c r="K57">
        <v>8352.9599999999991</v>
      </c>
      <c r="L57">
        <v>8352.9599999999991</v>
      </c>
      <c r="M57">
        <v>8352.9599999999991</v>
      </c>
      <c r="N57">
        <v>8352.9599999999991</v>
      </c>
      <c r="O57">
        <v>8352.9599999999991</v>
      </c>
      <c r="P57">
        <v>8352.9599999999991</v>
      </c>
      <c r="Q57">
        <v>8352.9599999999991</v>
      </c>
    </row>
    <row r="58" spans="1:17" x14ac:dyDescent="0.35">
      <c r="A58">
        <v>91</v>
      </c>
      <c r="B58">
        <v>1</v>
      </c>
      <c r="C58" t="s">
        <v>304</v>
      </c>
      <c r="D58" t="s">
        <v>246</v>
      </c>
      <c r="E58" t="s">
        <v>266</v>
      </c>
      <c r="F58">
        <v>58470.719999999994</v>
      </c>
      <c r="G58">
        <v>58470.719999999994</v>
      </c>
      <c r="H58">
        <v>58470.719999999994</v>
      </c>
      <c r="I58">
        <v>58470.719999999994</v>
      </c>
      <c r="J58">
        <v>58470.719999999994</v>
      </c>
      <c r="K58">
        <v>58470.719999999994</v>
      </c>
      <c r="L58">
        <v>58470.719999999994</v>
      </c>
      <c r="M58">
        <v>58470.719999999994</v>
      </c>
      <c r="N58">
        <v>58470.719999999994</v>
      </c>
      <c r="O58">
        <v>58470.719999999994</v>
      </c>
      <c r="P58">
        <v>58470.719999999994</v>
      </c>
      <c r="Q58">
        <v>58470.719999999994</v>
      </c>
    </row>
    <row r="59" spans="1:17" x14ac:dyDescent="0.35">
      <c r="A59">
        <v>91</v>
      </c>
      <c r="B59">
        <v>1</v>
      </c>
      <c r="C59" t="s">
        <v>304</v>
      </c>
      <c r="D59" t="s">
        <v>246</v>
      </c>
      <c r="E59" t="s">
        <v>267</v>
      </c>
      <c r="F59">
        <v>8352.9599999999991</v>
      </c>
      <c r="G59">
        <v>8352.9599999999991</v>
      </c>
      <c r="H59">
        <v>8352.9599999999991</v>
      </c>
      <c r="I59">
        <v>8352.9599999999991</v>
      </c>
      <c r="J59">
        <v>8352.9599999999991</v>
      </c>
      <c r="K59">
        <v>8352.9599999999991</v>
      </c>
      <c r="L59">
        <v>8352.9599999999991</v>
      </c>
      <c r="M59">
        <v>8352.9599999999991</v>
      </c>
      <c r="N59">
        <v>8352.9599999999991</v>
      </c>
      <c r="O59">
        <v>8352.9599999999991</v>
      </c>
      <c r="P59">
        <v>8352.9599999999991</v>
      </c>
      <c r="Q59">
        <v>8352.9599999999991</v>
      </c>
    </row>
    <row r="60" spans="1:17" x14ac:dyDescent="0.35">
      <c r="A60">
        <v>91</v>
      </c>
      <c r="B60">
        <v>1</v>
      </c>
      <c r="C60" t="s">
        <v>304</v>
      </c>
      <c r="D60" t="s">
        <v>246</v>
      </c>
      <c r="E60" t="s">
        <v>268</v>
      </c>
      <c r="F60">
        <v>4594.1279999999988</v>
      </c>
      <c r="G60">
        <v>4594.1279999999988</v>
      </c>
      <c r="H60">
        <v>4594.1279999999988</v>
      </c>
      <c r="I60">
        <v>4594.1279999999988</v>
      </c>
      <c r="J60">
        <v>4594.1279999999988</v>
      </c>
      <c r="K60">
        <v>4594.1279999999988</v>
      </c>
      <c r="L60">
        <v>4594.1279999999988</v>
      </c>
      <c r="M60">
        <v>4594.1279999999988</v>
      </c>
      <c r="N60">
        <v>4594.1279999999988</v>
      </c>
      <c r="O60">
        <v>4594.1279999999988</v>
      </c>
      <c r="P60">
        <v>4594.1279999999988</v>
      </c>
      <c r="Q60">
        <v>4594.1279999999988</v>
      </c>
    </row>
    <row r="61" spans="1:17" x14ac:dyDescent="0.35">
      <c r="A61">
        <v>91</v>
      </c>
      <c r="B61">
        <v>1</v>
      </c>
      <c r="C61" t="s">
        <v>304</v>
      </c>
      <c r="D61" t="s">
        <v>246</v>
      </c>
      <c r="E61" t="s">
        <v>265</v>
      </c>
      <c r="F61">
        <v>3077.2304639999988</v>
      </c>
      <c r="G61">
        <v>3015.4185599999996</v>
      </c>
      <c r="H61">
        <v>1995.5221439999996</v>
      </c>
      <c r="I61">
        <v>3019.5950399999997</v>
      </c>
      <c r="J61">
        <v>2834.1593279999997</v>
      </c>
      <c r="K61">
        <v>1916.169024</v>
      </c>
      <c r="L61">
        <v>3058.0186559999993</v>
      </c>
      <c r="M61">
        <v>2477.4879359999995</v>
      </c>
      <c r="N61">
        <v>2198.4990719999996</v>
      </c>
      <c r="O61">
        <v>2026.4280959999996</v>
      </c>
      <c r="P61">
        <v>2064.8517119999997</v>
      </c>
      <c r="Q61">
        <v>2807.4298559999997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Master</vt:lpstr>
      <vt:lpstr>Location Master</vt:lpstr>
      <vt:lpstr>Additional Data</vt:lpstr>
      <vt:lpstr>PNL Report</vt:lpstr>
      <vt:lpstr>PNL Report - 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Panchgam, Abhijeet</dc:creator>
  <cp:lastModifiedBy>Manikandan, Gomati</cp:lastModifiedBy>
  <dcterms:created xsi:type="dcterms:W3CDTF">2018-10-26T08:08:07Z</dcterms:created>
  <dcterms:modified xsi:type="dcterms:W3CDTF">2025-11-19T05:11:32Z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